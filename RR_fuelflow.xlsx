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GitHub\RationalResources\"/>
    </mc:Choice>
  </mc:AlternateContent>
  <bookViews>
    <workbookView xWindow="17670" yWindow="0" windowWidth="18375" windowHeight="8625"/>
  </bookViews>
  <sheets>
    <sheet name="Engine Config Calc" sheetId="2" r:id="rId1"/>
    <sheet name="Database" sheetId="3" r:id="rId2"/>
    <sheet name="Samples" sheetId="1" r:id="rId3"/>
    <sheet name="Energy calcs" sheetId="4" r:id="rId4"/>
  </sheets>
  <definedNames>
    <definedName name="_xlnm.Print_Area" localSheetId="1">#REF!</definedName>
    <definedName name="_xlnm.Print_Area" localSheetId="0">#REF!</definedName>
    <definedName name="_xlnm.Print_Area" localSheetId="2">#REF!</definedName>
    <definedName name="_xlnm.Sheet_Title" localSheetId="1">"Sheet3"</definedName>
    <definedName name="_xlnm.Sheet_Title" localSheetId="0">"Sheet2"</definedName>
    <definedName name="_xlnm.Sheet_Title" localSheetId="2">"Sheet1"</definedName>
  </definedNames>
  <calcPr calcId="152511"/>
</workbook>
</file>

<file path=xl/calcChain.xml><?xml version="1.0" encoding="utf-8"?>
<calcChain xmlns="http://schemas.openxmlformats.org/spreadsheetml/2006/main">
  <c r="B13" i="3" l="1"/>
  <c r="B12" i="3"/>
  <c r="B54" i="3" l="1"/>
  <c r="B53" i="3" l="1"/>
  <c r="B42" i="3" l="1"/>
  <c r="B26" i="3"/>
  <c r="B31" i="3" l="1"/>
  <c r="D29" i="2" l="1"/>
  <c r="D32" i="2" s="1"/>
  <c r="B24" i="2"/>
  <c r="C24" i="2" s="1"/>
  <c r="D24" i="2" l="1"/>
  <c r="E24" i="2" s="1"/>
  <c r="B8" i="4" l="1"/>
  <c r="B16" i="3" l="1"/>
  <c r="C86" i="4" l="1"/>
  <c r="B28" i="3"/>
  <c r="C85" i="4" l="1"/>
  <c r="D42" i="4" l="1"/>
  <c r="C47" i="4"/>
  <c r="C23" i="4"/>
  <c r="C50" i="4"/>
  <c r="E50" i="4"/>
  <c r="B9" i="2"/>
  <c r="D9" i="2" s="1"/>
  <c r="B6" i="4"/>
  <c r="B14" i="4"/>
  <c r="E14" i="4" s="1"/>
  <c r="C14" i="4" s="1"/>
  <c r="D6" i="4" l="1"/>
  <c r="C6" i="4"/>
  <c r="D73" i="4"/>
  <c r="E73" i="4"/>
  <c r="D75" i="4"/>
  <c r="E75" i="4"/>
  <c r="D74" i="4"/>
  <c r="E74" i="4"/>
  <c r="E65" i="4"/>
  <c r="D65" i="4"/>
  <c r="E67" i="4"/>
  <c r="D67" i="4"/>
  <c r="E66" i="4"/>
  <c r="D66" i="4"/>
  <c r="D70" i="4"/>
  <c r="D72" i="4"/>
  <c r="E72" i="4"/>
  <c r="E71" i="4"/>
  <c r="D71" i="4"/>
  <c r="E70" i="4"/>
  <c r="E61" i="4"/>
  <c r="E64" i="4"/>
  <c r="E62" i="4"/>
  <c r="E63" i="4"/>
  <c r="D61" i="4"/>
  <c r="D64" i="4"/>
  <c r="D62" i="4"/>
  <c r="D63" i="4"/>
  <c r="D40" i="4"/>
  <c r="E40" i="4" s="1"/>
  <c r="E45" i="4" s="1"/>
  <c r="C46" i="4"/>
  <c r="D43" i="4"/>
  <c r="C48" i="4"/>
  <c r="D39" i="4"/>
  <c r="E39" i="4" s="1"/>
  <c r="C45" i="4" s="1"/>
  <c r="J58" i="3"/>
  <c r="J52" i="3"/>
  <c r="J48" i="3"/>
  <c r="J45" i="3"/>
  <c r="J44" i="3"/>
  <c r="J43" i="3"/>
  <c r="J42" i="3"/>
  <c r="J40" i="3"/>
  <c r="J26" i="3"/>
  <c r="J19" i="3"/>
  <c r="C51" i="4" l="1"/>
  <c r="B36" i="3"/>
  <c r="B37" i="3"/>
  <c r="B18" i="3"/>
  <c r="B19" i="3"/>
  <c r="B24" i="3"/>
  <c r="E51" i="4" l="1"/>
  <c r="E52" i="4" s="1"/>
  <c r="C52" i="4"/>
  <c r="D23" i="4" l="1"/>
  <c r="E6" i="4" l="1"/>
  <c r="B44" i="3" l="1"/>
  <c r="B15" i="3" l="1"/>
  <c r="B35" i="3"/>
  <c r="B38" i="3"/>
  <c r="B39" i="3"/>
  <c r="B40" i="3"/>
  <c r="B41" i="3"/>
  <c r="B43" i="3"/>
  <c r="D14" i="2" l="1"/>
  <c r="C14" i="2"/>
  <c r="B20" i="3" l="1"/>
  <c r="B63" i="3"/>
  <c r="B21" i="3"/>
  <c r="B61" i="3" l="1"/>
  <c r="D17" i="2" l="1"/>
  <c r="C17" i="2"/>
  <c r="B14" i="3" l="1"/>
  <c r="B17" i="3"/>
  <c r="B22" i="3"/>
  <c r="B23" i="3"/>
  <c r="B25" i="3"/>
  <c r="B27" i="3"/>
  <c r="B29" i="3"/>
  <c r="B30" i="3"/>
  <c r="B32" i="3"/>
  <c r="B33" i="3"/>
  <c r="B29" i="2" s="1"/>
  <c r="B32" i="2" s="1"/>
  <c r="B34" i="3"/>
  <c r="B45" i="3"/>
  <c r="B48" i="3"/>
  <c r="B49" i="3"/>
  <c r="B50" i="3"/>
  <c r="B51" i="3"/>
  <c r="B52" i="3"/>
  <c r="B55" i="3"/>
  <c r="B56" i="3"/>
  <c r="B57" i="3"/>
  <c r="B58" i="3"/>
  <c r="C29" i="2" s="1"/>
  <c r="C32" i="2" s="1"/>
  <c r="B59" i="3"/>
  <c r="B60" i="3"/>
  <c r="B62" i="3"/>
  <c r="B11" i="3"/>
  <c r="E30" i="2" l="1"/>
  <c r="C30" i="2"/>
  <c r="C31" i="2" s="1"/>
  <c r="B30" i="2"/>
  <c r="D30" i="2"/>
  <c r="D31" i="2" s="1"/>
  <c r="B14" i="2"/>
  <c r="B17" i="2" s="1"/>
  <c r="E3" i="1"/>
  <c r="D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B31" i="2" l="1"/>
  <c r="G28" i="2"/>
  <c r="H28" i="2" s="1"/>
  <c r="E31" i="2"/>
  <c r="C9" i="2"/>
  <c r="C15" i="2" l="1"/>
  <c r="B15" i="2"/>
  <c r="E15" i="2"/>
  <c r="G13" i="2" s="1"/>
  <c r="H13" i="2" s="1"/>
  <c r="D15" i="2"/>
  <c r="D16" i="2" s="1"/>
  <c r="E9" i="2"/>
  <c r="G24" i="2" l="1"/>
  <c r="B16" i="2"/>
  <c r="C16" i="2"/>
  <c r="E16" i="2"/>
  <c r="G9" i="2" l="1"/>
  <c r="H24" i="2" s="1"/>
  <c r="B30" i="4"/>
  <c r="H9" i="2" l="1"/>
  <c r="B32" i="4"/>
  <c r="D30" i="4"/>
  <c r="B28" i="4"/>
  <c r="C30" i="4"/>
  <c r="C12" i="4"/>
  <c r="D18" i="4" s="1"/>
</calcChain>
</file>

<file path=xl/comments1.xml><?xml version="1.0" encoding="utf-8"?>
<comments xmlns="http://schemas.openxmlformats.org/spreadsheetml/2006/main">
  <authors>
    <author>Jadon Wade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[Specific impulse]
The conventional format for rocket fuel efficiency. "Newton-seconds"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[Exhaust velocity]
The speed of the reaction products leaving the engine. This is more important than Ns Isp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Total propellant mass flow into combustion chamber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Net mass-energy released through the engine. Treat it as thermal mass/energy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[Specific energy]
Energy density per unit mass of fuel reacting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If EC value is not where I want it to be, express its offset as a fraction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Derived from offset fraction. Put this into input field to cancel the offset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The in-game value that I want to get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[Specific impulse]
The conventional format for rocket fuel efficiency. "Newton-seconds"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[Exhaust velocity]
The speed of the reaction products leaving the engine. This is more important than Ns Isp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Total propellant mass flow into combustion chamber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Net mass-energy released through the engine. Treat it as thermal mass/energy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[Specific energy]
Energy density per unit mass of fuel reacting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If EC value is not where I want it to be, express its offset as a fraction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Derived from offset fraction. Put this into input field to cancel the offset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The in-game value that I want to get</t>
        </r>
      </text>
    </comment>
  </commentList>
</comments>
</file>

<file path=xl/comments2.xml><?xml version="1.0" encoding="utf-8"?>
<comments xmlns="http://schemas.openxmlformats.org/spreadsheetml/2006/main">
  <authors>
    <author>Jadon Wade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Get important stats from thrust and Isp of an arbitrary propellant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Light speed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Earth standard acceleration (by gravity)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Get missing values/specs from Thruster power and Isp on the many engine type entries on Project Rho/ Atomic Rockets website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Get effective thrust and EC demand from a sample lightcraft driver laser wattage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If a given fusion or oxidating reactor was built open-ended for use with a thermal nozzle, get engine-related stats from the reaction's energy density and a desired thrust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Exhaust velocity of a given chemical passed through a nuclear thermal chamber with a given chember temperature, chamber pressure and ideal ambient pressure.
Does not account for other properties of the chemical such as Specific Heat [Hsp] so may not be reliable for NTR configs for just any chemical.
Adapted from formula on fxsolver.com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Inlet gas temperature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Molar gas constant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Molar mass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Isentropic heat expansion factor. Dry air usually 1.398; scalar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Exhaust pressure at nozzle exit. What the ideal atmospheric pressure around the engine should be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Inlet gas pressure (or reaction chamber pressure)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Reference table of choice propellants and Isp based on a NASA PDF. Unfortunately, these don't line up with the Exhaust gas velocity calculator above, therefore, the disclaimer in the comment there</t>
        </r>
      </text>
    </comment>
    <comment ref="E57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Exchange of thrust for Isp isn't always linear so dampen the climb rate of the thrust multipliers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For Classic Stock Resources; Angelo Kerman's mods.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Total heat production of a given reactor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Temperature of hot reservoir or power source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Temperature of cold reservoir or radiator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Work; useful energy; ElectricCharge produced; heat destroyed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Jadon Wade:</t>
        </r>
        <r>
          <rPr>
            <sz val="9"/>
            <color indexed="81"/>
            <rFont val="Tahoma"/>
            <family val="2"/>
          </rPr>
          <t xml:space="preserve">
Ratio of Temps differential</t>
        </r>
      </text>
    </comment>
  </commentList>
</comments>
</file>

<file path=xl/sharedStrings.xml><?xml version="1.0" encoding="utf-8"?>
<sst xmlns="http://schemas.openxmlformats.org/spreadsheetml/2006/main" count="330" uniqueCount="232">
  <si>
    <t>name</t>
  </si>
  <si>
    <t>Thrust(kN)</t>
  </si>
  <si>
    <t>Isp(s)</t>
  </si>
  <si>
    <t>Ve (m/s)</t>
  </si>
  <si>
    <t>flow(kg/s)</t>
  </si>
  <si>
    <t>power(W)</t>
  </si>
  <si>
    <t>J/kg</t>
  </si>
  <si>
    <t>24-77</t>
  </si>
  <si>
    <t>48-7S</t>
  </si>
  <si>
    <t>aerospike</t>
  </si>
  <si>
    <t>LV-1</t>
  </si>
  <si>
    <t>LV-1R</t>
  </si>
  <si>
    <t>LV-909</t>
  </si>
  <si>
    <t>LV-N</t>
  </si>
  <si>
    <t>LF only</t>
  </si>
  <si>
    <t>LV-T30</t>
  </si>
  <si>
    <t>LV-T45</t>
  </si>
  <si>
    <t>mainsail</t>
  </si>
  <si>
    <t>Mk55</t>
  </si>
  <si>
    <t>poodle</t>
  </si>
  <si>
    <t>SSME</t>
  </si>
  <si>
    <t>skipper</t>
  </si>
  <si>
    <t>Flow (kg/s)</t>
  </si>
  <si>
    <t>Name</t>
  </si>
  <si>
    <t>Density (kg)</t>
  </si>
  <si>
    <t>LiquidFuel</t>
  </si>
  <si>
    <t>Oxidizer</t>
  </si>
  <si>
    <t>MonoPropellant</t>
  </si>
  <si>
    <t>LqdHydrogen</t>
  </si>
  <si>
    <t>LqdMethane</t>
  </si>
  <si>
    <t>SolidFuel</t>
  </si>
  <si>
    <t>ElectricCharge</t>
  </si>
  <si>
    <t>Power (W)</t>
  </si>
  <si>
    <t>Power (J/kg)</t>
  </si>
  <si>
    <t>Inputs</t>
  </si>
  <si>
    <t>Outputs</t>
  </si>
  <si>
    <t>XenonGas</t>
  </si>
  <si>
    <t>Lithium</t>
  </si>
  <si>
    <t>EnrichedUranium</t>
  </si>
  <si>
    <t>Antimatter</t>
  </si>
  <si>
    <t>ArgonGas</t>
  </si>
  <si>
    <t>Metal(s)</t>
  </si>
  <si>
    <t>LqdDeuterium</t>
  </si>
  <si>
    <t>LqdCO2</t>
  </si>
  <si>
    <t>LqdAmmonia</t>
  </si>
  <si>
    <t>LqdHe3</t>
  </si>
  <si>
    <t>Karbonite</t>
  </si>
  <si>
    <t>Karborundum</t>
  </si>
  <si>
    <t>Atmosphere</t>
  </si>
  <si>
    <t>CompressedAtmosphere</t>
  </si>
  <si>
    <t>Nitronite</t>
  </si>
  <si>
    <t>Propellium</t>
  </si>
  <si>
    <t>Raptium</t>
  </si>
  <si>
    <t>Explodium</t>
  </si>
  <si>
    <t>Oxium</t>
  </si>
  <si>
    <t>Blutonium</t>
  </si>
  <si>
    <t>Hexagen</t>
  </si>
  <si>
    <t>RHK1</t>
  </si>
  <si>
    <t>ElectroPlasma</t>
  </si>
  <si>
    <t>____CRP____</t>
  </si>
  <si>
    <t>____WBI____</t>
  </si>
  <si>
    <t>Samples by @taniwha</t>
  </si>
  <si>
    <t>Intake(Air/Atm)</t>
  </si>
  <si>
    <t>Name (dropdown)</t>
  </si>
  <si>
    <t>Ratio (for cfg)</t>
  </si>
  <si>
    <t>Stats (from cfg)</t>
  </si>
  <si>
    <t>Blue items are drop-down selectors. Orange fields are inputs. Only type into the orange fields.</t>
  </si>
  <si>
    <t>SRMFuel</t>
  </si>
  <si>
    <t>Supports stock, CRP and WBI.</t>
  </si>
  <si>
    <t>Ratio (U/s)</t>
  </si>
  <si>
    <t>Total flow (kg/s)</t>
  </si>
  <si>
    <t>Units/s (in-game)</t>
  </si>
  <si>
    <t>Rock</t>
  </si>
  <si>
    <t>Ore</t>
  </si>
  <si>
    <t>FusionPellets</t>
  </si>
  <si>
    <t>Water (CRP)</t>
  </si>
  <si>
    <t>Water (WBI)</t>
  </si>
  <si>
    <t>MetallicHydrogen</t>
  </si>
  <si>
    <t>NuclearSaltWater</t>
  </si>
  <si>
    <t>FissionPellets</t>
  </si>
  <si>
    <t>MMH</t>
  </si>
  <si>
    <t>NTO</t>
  </si>
  <si>
    <t>AZ50</t>
  </si>
  <si>
    <t>LqdOxygen</t>
  </si>
  <si>
    <t>UDMH</t>
  </si>
  <si>
    <t>UH25</t>
  </si>
  <si>
    <t>Fraction</t>
  </si>
  <si>
    <t>Do not input propellants that have "IgnoreForIsp = True"</t>
  </si>
  <si>
    <t>Classic Stock</t>
  </si>
  <si>
    <t>~ Re-input</t>
  </si>
  <si>
    <t>EC Target</t>
  </si>
  <si>
    <t>c</t>
  </si>
  <si>
    <t>Lightcraft</t>
  </si>
  <si>
    <t>ElectricCharge (kW or kWh)</t>
  </si>
  <si>
    <t>Thrust (Vac, kN)</t>
  </si>
  <si>
    <t>Weight (t)</t>
  </si>
  <si>
    <t>Basic</t>
  </si>
  <si>
    <t>Advanced</t>
  </si>
  <si>
    <t>Extra</t>
  </si>
  <si>
    <t>Reactor to engine</t>
  </si>
  <si>
    <t>Esp (J/kg)</t>
  </si>
  <si>
    <t>Kerosene</t>
  </si>
  <si>
    <t>Ethanol</t>
  </si>
  <si>
    <t>Ethanol75</t>
  </si>
  <si>
    <t>LqdNitrogen</t>
  </si>
  <si>
    <t>Hydrogen</t>
  </si>
  <si>
    <t>R</t>
  </si>
  <si>
    <t>(1-(Pe^Z)/P)</t>
  </si>
  <si>
    <t>(T*R)/M</t>
  </si>
  <si>
    <t>P</t>
  </si>
  <si>
    <t>Pe</t>
  </si>
  <si>
    <t>M</t>
  </si>
  <si>
    <t>T</t>
  </si>
  <si>
    <t>Exhaust gas velocity</t>
  </si>
  <si>
    <t>Alumina</t>
  </si>
  <si>
    <t>Al2O3</t>
  </si>
  <si>
    <t>Aluminium</t>
  </si>
  <si>
    <t>Al</t>
  </si>
  <si>
    <t>Ammonia</t>
  </si>
  <si>
    <t>NH3</t>
  </si>
  <si>
    <t>Ar</t>
  </si>
  <si>
    <t>Carbon</t>
  </si>
  <si>
    <t>C</t>
  </si>
  <si>
    <t>CarbonDioxide</t>
  </si>
  <si>
    <t>CO2</t>
  </si>
  <si>
    <t>CarbonMonoxide</t>
  </si>
  <si>
    <t>CO</t>
  </si>
  <si>
    <t>Chlorine</t>
  </si>
  <si>
    <t>Cl2</t>
  </si>
  <si>
    <t>Depleted [Fuel/Uranium]</t>
  </si>
  <si>
    <t>U</t>
  </si>
  <si>
    <t>Deuterium</t>
  </si>
  <si>
    <t>D / 2H</t>
  </si>
  <si>
    <t>Dirt</t>
  </si>
  <si>
    <t>Sand (SiO2)</t>
  </si>
  <si>
    <t>C2H6O</t>
  </si>
  <si>
    <t>C2H6O[3] + H2O[1]</t>
  </si>
  <si>
    <t>ExoticMinerals</t>
  </si>
  <si>
    <t>Xenotime (YPO4)</t>
  </si>
  <si>
    <t>Fluorine</t>
  </si>
  <si>
    <t>F2</t>
  </si>
  <si>
    <t>D+He3</t>
  </si>
  <si>
    <t>Glykerol</t>
  </si>
  <si>
    <t>Glycerol (C3H8O3)</t>
  </si>
  <si>
    <t>Gypsum</t>
  </si>
  <si>
    <t>Gypsum (CaSO4+2H2O)</t>
  </si>
  <si>
    <t>Helium-3</t>
  </si>
  <si>
    <t>3He</t>
  </si>
  <si>
    <t>Helium</t>
  </si>
  <si>
    <t>He / 4He</t>
  </si>
  <si>
    <t>HTP</t>
  </si>
  <si>
    <t>H2O2</t>
  </si>
  <si>
    <t>Hydrates</t>
  </si>
  <si>
    <t>Ferrihydrite (Fe2O3+0.5(H2O))</t>
  </si>
  <si>
    <t>Hydrazine</t>
  </si>
  <si>
    <t>N2H4</t>
  </si>
  <si>
    <t>H2</t>
  </si>
  <si>
    <t>Dodecane (C12H26)</t>
  </si>
  <si>
    <t>Li</t>
  </si>
  <si>
    <t>LqdCO</t>
  </si>
  <si>
    <t>LqdHe</t>
  </si>
  <si>
    <t>CH4</t>
  </si>
  <si>
    <t>O2</t>
  </si>
  <si>
    <t>N2</t>
  </si>
  <si>
    <t>MetallicOre</t>
  </si>
  <si>
    <t>Hematite (Fe2O3)</t>
  </si>
  <si>
    <t>MetalOre</t>
  </si>
  <si>
    <t>Iron (Fe)</t>
  </si>
  <si>
    <t>Methane</t>
  </si>
  <si>
    <t>Minerals</t>
  </si>
  <si>
    <t>Quartz (SiO2)</t>
  </si>
  <si>
    <r>
      <t>CH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0"/>
        <color indexed="8"/>
        <rFont val="Sans"/>
      </rPr>
      <t>(NH)NH</t>
    </r>
    <r>
      <rPr>
        <vertAlign val="subscript"/>
        <sz val="12"/>
        <color theme="1"/>
        <rFont val="Calibri"/>
        <family val="2"/>
        <scheme val="minor"/>
      </rPr>
      <t>2</t>
    </r>
  </si>
  <si>
    <t>Monazite</t>
  </si>
  <si>
    <t>Lanthanum var (LaPO4)</t>
  </si>
  <si>
    <t>Nitrogen</t>
  </si>
  <si>
    <t>N2O4</t>
  </si>
  <si>
    <t>Oxygen</t>
  </si>
  <si>
    <t>Phosphorus</t>
  </si>
  <si>
    <t>RareMetals</t>
  </si>
  <si>
    <t>Platinum (Pt)</t>
  </si>
  <si>
    <t>Silicates</t>
  </si>
  <si>
    <t>Silicon</t>
  </si>
  <si>
    <t>Si</t>
  </si>
  <si>
    <t>Spodumene</t>
  </si>
  <si>
    <t>LiAl(SiO3)2</t>
  </si>
  <si>
    <t>Uraninite</t>
  </si>
  <si>
    <t>UO2</t>
  </si>
  <si>
    <t>H2NN(CH3)2</t>
  </si>
  <si>
    <t>Hydrazine + UDMH (25:75)</t>
  </si>
  <si>
    <t>H2O</t>
  </si>
  <si>
    <t>Chem Symbol</t>
  </si>
  <si>
    <t>Moles</t>
  </si>
  <si>
    <t>Molar mass</t>
  </si>
  <si>
    <t>Isp (Ns)</t>
  </si>
  <si>
    <t>LH2</t>
  </si>
  <si>
    <t>RRNF Ratios</t>
  </si>
  <si>
    <t>Water</t>
  </si>
  <si>
    <t>Fresh Air</t>
  </si>
  <si>
    <t>Thrust mult</t>
  </si>
  <si>
    <t>Thrust mult exp</t>
  </si>
  <si>
    <t>Ve (%c)</t>
  </si>
  <si>
    <t>(Stale/Comp) Atm</t>
  </si>
  <si>
    <t>Energy Calculators</t>
  </si>
  <si>
    <t>γ</t>
  </si>
  <si>
    <t>(2γ/γ-1)</t>
  </si>
  <si>
    <t>ɡ0</t>
  </si>
  <si>
    <t>Thrust (kN)</t>
  </si>
  <si>
    <t>Engine Spec</t>
  </si>
  <si>
    <t>γ-1/γ</t>
  </si>
  <si>
    <t>CRP</t>
  </si>
  <si>
    <t>Engine count</t>
  </si>
  <si>
    <t>TWR per engine</t>
  </si>
  <si>
    <t>Isp (s)</t>
  </si>
  <si>
    <t>W</t>
  </si>
  <si>
    <t>Q</t>
  </si>
  <si>
    <t>Tc</t>
  </si>
  <si>
    <t>Th</t>
  </si>
  <si>
    <t>Rt</t>
  </si>
  <si>
    <t>Carnot cycle generator</t>
  </si>
  <si>
    <t>Boron</t>
  </si>
  <si>
    <t>B</t>
  </si>
  <si>
    <t>Orthosilicate (SiO4)</t>
  </si>
  <si>
    <t>Engine 1</t>
  </si>
  <si>
    <t>Engine 2</t>
  </si>
  <si>
    <t>LqdFluorine</t>
  </si>
  <si>
    <t>LithiumSaltWater</t>
  </si>
  <si>
    <t>Octaazacubane</t>
  </si>
  <si>
    <t>FreshAir</t>
  </si>
  <si>
    <t>FumingButterscotch</t>
  </si>
  <si>
    <t>Mass flow (kg/s)</t>
  </si>
  <si>
    <t>Antimatter (FFT)</t>
  </si>
  <si>
    <t>AntiHydrogen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</si>
</sst>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_-* #,##0.00_-;\-* #,##0.00_-;_-* &quot;-&quot;??_-;_-@_-"/>
    <numFmt numFmtId="165" formatCode="0.0"/>
    <numFmt numFmtId="166" formatCode="0.000"/>
    <numFmt numFmtId="167" formatCode="0.0000"/>
    <numFmt numFmtId="168" formatCode="_-* #,##0_-;\-* #,##0_-;_-* &quot;-&quot;??_-;_-@_-"/>
    <numFmt numFmtId="169" formatCode="_-* #,##0.000_-;\-* #,##0.000_-;_-* &quot;-&quot;??_-;_-@_-"/>
    <numFmt numFmtId="170" formatCode="General\ &quot;J/mol-1 /K-1&quot;"/>
    <numFmt numFmtId="171" formatCode="0\ &quot;K&quot;"/>
    <numFmt numFmtId="172" formatCode="#,##0.00\ &quot;g/mol&quot;"/>
    <numFmt numFmtId="173" formatCode="0\ &quot;atm&quot;"/>
    <numFmt numFmtId="174" formatCode="0.00\ &quot;g/mol&quot;"/>
    <numFmt numFmtId="175" formatCode="0.000\ &quot;kg/mol&quot;"/>
    <numFmt numFmtId="176" formatCode="0.00&quot;x&quot;"/>
    <numFmt numFmtId="177" formatCode="0.00000\ &quot;m/s^2&quot;"/>
    <numFmt numFmtId="178" formatCode="#,###\ &quot;m/s&quot;"/>
    <numFmt numFmtId="179" formatCode="#,##0.00\ &quot;Pa&quot;"/>
    <numFmt numFmtId="180" formatCode="#,###\ &quot;kW&quot;"/>
    <numFmt numFmtId="181" formatCode="0.00000"/>
  </numFmts>
  <fonts count="27">
    <font>
      <sz val="10"/>
      <color indexed="8"/>
      <name val="Sans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color indexed="8"/>
      <name val="Sans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indexed="8"/>
      <name val="Sans"/>
    </font>
    <font>
      <i/>
      <sz val="12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70C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0"/>
      <color theme="10"/>
      <name val="Sans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21"/>
      </bottom>
      <diagonal/>
    </border>
  </borders>
  <cellStyleXfs count="1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3" applyNumberFormat="0" applyAlignment="0" applyProtection="0"/>
    <xf numFmtId="0" fontId="4" fillId="3" borderId="3" applyNumberFormat="0" applyAlignment="0" applyProtection="0"/>
    <xf numFmtId="0" fontId="5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3" borderId="5" applyNumberFormat="0" applyAlignment="0" applyProtection="0"/>
    <xf numFmtId="0" fontId="15" fillId="0" borderId="6" applyNumberFormat="0" applyFill="0" applyAlignment="0" applyProtection="0"/>
    <xf numFmtId="164" fontId="16" fillId="0" borderId="0" applyFont="0" applyFill="0" applyBorder="0" applyAlignment="0" applyProtection="0"/>
    <xf numFmtId="0" fontId="18" fillId="0" borderId="0"/>
    <xf numFmtId="0" fontId="25" fillId="0" borderId="0" applyNumberFormat="0" applyFill="0" applyBorder="0" applyAlignment="0" applyProtection="0"/>
  </cellStyleXfs>
  <cellXfs count="81">
    <xf numFmtId="0" fontId="0" fillId="0" borderId="0" xfId="0"/>
    <xf numFmtId="0" fontId="8" fillId="0" borderId="0" xfId="0" applyFont="1" applyFill="1" applyAlignment="1"/>
    <xf numFmtId="0" fontId="9" fillId="0" borderId="0" xfId="0" applyFont="1" applyFill="1" applyAlignment="1"/>
    <xf numFmtId="165" fontId="9" fillId="0" borderId="0" xfId="0" applyNumberFormat="1" applyFont="1" applyFill="1" applyAlignment="1"/>
    <xf numFmtId="0" fontId="9" fillId="0" borderId="0" xfId="0" applyNumberFormat="1" applyFont="1" applyFill="1" applyAlignment="1"/>
    <xf numFmtId="0" fontId="9" fillId="0" borderId="0" xfId="0" applyFont="1"/>
    <xf numFmtId="0" fontId="2" fillId="0" borderId="2" xfId="2" applyFill="1" applyAlignment="1"/>
    <xf numFmtId="0" fontId="1" fillId="0" borderId="1" xfId="1" applyFill="1" applyAlignment="1"/>
    <xf numFmtId="0" fontId="5" fillId="0" borderId="4" xfId="5" applyFont="1" applyFill="1" applyAlignment="1"/>
    <xf numFmtId="0" fontId="6" fillId="0" borderId="0" xfId="6" applyNumberFormat="1" applyFont="1" applyFill="1" applyAlignment="1"/>
    <xf numFmtId="0" fontId="11" fillId="3" borderId="3" xfId="4" applyFont="1" applyAlignment="1"/>
    <xf numFmtId="0" fontId="10" fillId="2" borderId="3" xfId="3" applyFont="1" applyAlignment="1"/>
    <xf numFmtId="0" fontId="7" fillId="0" borderId="0" xfId="0" applyFont="1"/>
    <xf numFmtId="0" fontId="14" fillId="5" borderId="0" xfId="0" applyFont="1" applyFill="1"/>
    <xf numFmtId="0" fontId="6" fillId="0" borderId="0" xfId="6"/>
    <xf numFmtId="166" fontId="3" fillId="2" borderId="3" xfId="3" applyNumberFormat="1" applyFont="1" applyAlignment="1"/>
    <xf numFmtId="167" fontId="3" fillId="2" borderId="3" xfId="3" applyNumberFormat="1" applyFont="1" applyAlignment="1"/>
    <xf numFmtId="0" fontId="5" fillId="0" borderId="4" xfId="5"/>
    <xf numFmtId="164" fontId="4" fillId="3" borderId="3" xfId="10" applyFont="1" applyFill="1" applyBorder="1" applyAlignment="1"/>
    <xf numFmtId="0" fontId="4" fillId="3" borderId="3" xfId="4"/>
    <xf numFmtId="0" fontId="3" fillId="2" borderId="3" xfId="3"/>
    <xf numFmtId="164" fontId="3" fillId="2" borderId="3" xfId="10" applyFont="1" applyFill="1" applyBorder="1" applyAlignment="1"/>
    <xf numFmtId="164" fontId="3" fillId="2" borderId="3" xfId="10" applyFont="1" applyFill="1" applyBorder="1"/>
    <xf numFmtId="164" fontId="4" fillId="3" borderId="3" xfId="4" applyNumberFormat="1" applyFont="1" applyAlignment="1"/>
    <xf numFmtId="168" fontId="3" fillId="2" borderId="3" xfId="10" applyNumberFormat="1" applyFont="1" applyFill="1" applyBorder="1" applyAlignment="1"/>
    <xf numFmtId="11" fontId="3" fillId="2" borderId="3" xfId="3" applyNumberFormat="1"/>
    <xf numFmtId="164" fontId="4" fillId="3" borderId="3" xfId="10" applyFont="1" applyFill="1" applyBorder="1"/>
    <xf numFmtId="11" fontId="3" fillId="2" borderId="3" xfId="3" applyNumberFormat="1" applyFont="1"/>
    <xf numFmtId="169" fontId="4" fillId="3" borderId="3" xfId="10" applyNumberFormat="1" applyFont="1" applyFill="1" applyBorder="1"/>
    <xf numFmtId="0" fontId="18" fillId="0" borderId="0" xfId="11"/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1" fontId="3" fillId="2" borderId="3" xfId="3" applyNumberFormat="1"/>
    <xf numFmtId="170" fontId="6" fillId="0" borderId="0" xfId="6" applyNumberFormat="1"/>
    <xf numFmtId="173" fontId="3" fillId="2" borderId="3" xfId="3" applyNumberFormat="1"/>
    <xf numFmtId="2" fontId="4" fillId="3" borderId="3" xfId="4" applyNumberFormat="1"/>
    <xf numFmtId="0" fontId="18" fillId="0" borderId="0" xfId="11" applyFont="1"/>
    <xf numFmtId="174" fontId="5" fillId="0" borderId="4" xfId="5" applyNumberFormat="1"/>
    <xf numFmtId="175" fontId="5" fillId="0" borderId="4" xfId="5" applyNumberFormat="1"/>
    <xf numFmtId="2" fontId="9" fillId="0" borderId="0" xfId="0" applyNumberFormat="1" applyFont="1"/>
    <xf numFmtId="165" fontId="9" fillId="0" borderId="0" xfId="0" applyNumberFormat="1" applyFont="1"/>
    <xf numFmtId="0" fontId="23" fillId="0" borderId="0" xfId="0" applyFont="1"/>
    <xf numFmtId="0" fontId="24" fillId="0" borderId="0" xfId="0" applyFont="1"/>
    <xf numFmtId="176" fontId="9" fillId="0" borderId="0" xfId="0" applyNumberFormat="1" applyFont="1"/>
    <xf numFmtId="2" fontId="3" fillId="2" borderId="3" xfId="3" applyNumberFormat="1"/>
    <xf numFmtId="176" fontId="4" fillId="3" borderId="3" xfId="4" applyNumberFormat="1"/>
    <xf numFmtId="0" fontId="2" fillId="0" borderId="2" xfId="2"/>
    <xf numFmtId="177" fontId="17" fillId="0" borderId="0" xfId="10" applyNumberFormat="1" applyFont="1"/>
    <xf numFmtId="178" fontId="17" fillId="0" borderId="0" xfId="10" applyNumberFormat="1" applyFont="1"/>
    <xf numFmtId="164" fontId="4" fillId="3" borderId="3" xfId="10" applyNumberFormat="1" applyFont="1" applyFill="1" applyBorder="1"/>
    <xf numFmtId="164" fontId="13" fillId="3" borderId="5" xfId="10" applyFont="1" applyFill="1" applyBorder="1"/>
    <xf numFmtId="2" fontId="13" fillId="3" borderId="5" xfId="8" applyNumberFormat="1"/>
    <xf numFmtId="166" fontId="4" fillId="3" borderId="3" xfId="4" applyNumberFormat="1"/>
    <xf numFmtId="179" fontId="5" fillId="0" borderId="4" xfId="5" applyNumberFormat="1"/>
    <xf numFmtId="0" fontId="25" fillId="0" borderId="0" xfId="12"/>
    <xf numFmtId="176" fontId="3" fillId="2" borderId="3" xfId="3" applyNumberFormat="1"/>
    <xf numFmtId="2" fontId="5" fillId="0" borderId="4" xfId="5" applyNumberFormat="1"/>
    <xf numFmtId="1" fontId="9" fillId="0" borderId="0" xfId="0" applyNumberFormat="1" applyFont="1"/>
    <xf numFmtId="169" fontId="4" fillId="3" borderId="3" xfId="10" applyNumberFormat="1" applyFont="1" applyFill="1" applyBorder="1" applyAlignment="1"/>
    <xf numFmtId="180" fontId="3" fillId="2" borderId="3" xfId="10" applyNumberFormat="1" applyFont="1" applyFill="1" applyBorder="1"/>
    <xf numFmtId="180" fontId="13" fillId="3" borderId="5" xfId="8" applyNumberFormat="1"/>
    <xf numFmtId="0" fontId="9" fillId="0" borderId="0" xfId="0" applyFont="1" applyAlignment="1">
      <alignment horizontal="left"/>
    </xf>
    <xf numFmtId="0" fontId="6" fillId="0" borderId="0" xfId="6" applyFont="1"/>
    <xf numFmtId="0" fontId="26" fillId="0" borderId="0" xfId="0" applyFont="1"/>
    <xf numFmtId="0" fontId="4" fillId="3" borderId="3" xfId="4" applyFont="1" applyAlignment="1"/>
    <xf numFmtId="166" fontId="4" fillId="3" borderId="3" xfId="4" applyNumberFormat="1" applyFont="1" applyAlignment="1"/>
    <xf numFmtId="0" fontId="12" fillId="4" borderId="0" xfId="7" applyFont="1" applyAlignment="1"/>
    <xf numFmtId="0" fontId="2" fillId="0" borderId="2" xfId="2" applyFont="1" applyFill="1" applyAlignment="1"/>
    <xf numFmtId="166" fontId="13" fillId="3" borderId="5" xfId="8" applyNumberFormat="1" applyFont="1" applyAlignment="1"/>
    <xf numFmtId="0" fontId="15" fillId="0" borderId="6" xfId="9" applyFont="1"/>
    <xf numFmtId="167" fontId="4" fillId="3" borderId="3" xfId="4" applyNumberFormat="1" applyFont="1" applyAlignment="1"/>
    <xf numFmtId="0" fontId="13" fillId="3" borderId="5" xfId="8" applyFont="1" applyAlignment="1"/>
    <xf numFmtId="1" fontId="3" fillId="2" borderId="3" xfId="3" applyNumberFormat="1" applyFont="1" applyAlignment="1"/>
    <xf numFmtId="181" fontId="9" fillId="0" borderId="0" xfId="0" applyNumberFormat="1" applyFont="1" applyFill="1" applyAlignment="1"/>
    <xf numFmtId="181" fontId="3" fillId="2" borderId="3" xfId="3" applyNumberFormat="1" applyFont="1" applyAlignment="1"/>
    <xf numFmtId="181" fontId="13" fillId="3" borderId="5" xfId="8" applyNumberFormat="1" applyFont="1" applyAlignment="1"/>
    <xf numFmtId="0" fontId="8" fillId="0" borderId="0" xfId="0" applyFont="1"/>
    <xf numFmtId="0" fontId="1" fillId="0" borderId="1" xfId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" fillId="0" borderId="1" xfId="1" applyAlignment="1">
      <alignment horizontal="center"/>
    </xf>
  </cellXfs>
  <cellStyles count="13">
    <cellStyle name="Calculation" xfId="4" builtinId="22"/>
    <cellStyle name="Comma" xfId="10" builtinId="3"/>
    <cellStyle name="Explanatory Text" xfId="6" builtinId="53"/>
    <cellStyle name="Good" xfId="7" builtinId="26"/>
    <cellStyle name="Heading 1" xfId="1" builtinId="16"/>
    <cellStyle name="Heading 2" xfId="2" builtinId="17"/>
    <cellStyle name="Heading 3" xfId="9" builtinId="18"/>
    <cellStyle name="Hyperlink" xfId="12" builtinId="8"/>
    <cellStyle name="Input" xfId="3" builtinId="20"/>
    <cellStyle name="Linked Cell" xfId="5" builtinId="24"/>
    <cellStyle name="Normal" xfId="0" builtinId="0"/>
    <cellStyle name="Normal 2" xfId="11"/>
    <cellStyle name="Output" xfId="8" builtinId="2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Q80"/>
  <sheetViews>
    <sheetView tabSelected="1" zoomScaleNormal="100" workbookViewId="0">
      <selection activeCell="D4" sqref="D4"/>
    </sheetView>
  </sheetViews>
  <sheetFormatPr defaultRowHeight="15.75"/>
  <cols>
    <col min="1" max="5" width="22.85546875" style="2" customWidth="1"/>
    <col min="6" max="6" width="9.140625" style="2"/>
    <col min="7" max="7" width="14.28515625" style="2" customWidth="1"/>
    <col min="8" max="8" width="14.140625" style="2" customWidth="1"/>
    <col min="9" max="9" width="14.42578125" style="2" customWidth="1"/>
    <col min="10" max="10" width="9.140625" style="2"/>
    <col min="11" max="12" width="9.140625" style="2" customWidth="1"/>
    <col min="13" max="16" width="9.140625" style="2"/>
    <col min="17" max="18" width="9.140625" style="2" customWidth="1"/>
    <col min="19" max="251" width="9.140625" style="2"/>
    <col min="252" max="16384" width="9.140625" style="5"/>
  </cols>
  <sheetData>
    <row r="1" spans="1:28" ht="20.25" thickBot="1">
      <c r="A1" s="78" t="s">
        <v>207</v>
      </c>
      <c r="B1" s="78"/>
      <c r="C1" s="78"/>
      <c r="D1" s="78"/>
      <c r="E1" s="78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ht="16.5" thickTop="1">
      <c r="A2" s="63" t="s">
        <v>66</v>
      </c>
      <c r="B2" s="64"/>
      <c r="C2" s="64"/>
      <c r="D2" s="64"/>
      <c r="E2" s="64"/>
      <c r="Q2"/>
      <c r="R2"/>
      <c r="S2"/>
      <c r="T2"/>
      <c r="U2"/>
      <c r="V2"/>
      <c r="W2"/>
      <c r="X2"/>
      <c r="Y2"/>
      <c r="Z2"/>
      <c r="AA2"/>
      <c r="AB2"/>
    </row>
    <row r="3" spans="1:28">
      <c r="A3" s="63" t="s">
        <v>68</v>
      </c>
      <c r="B3" s="64"/>
      <c r="C3" s="64"/>
      <c r="D3" s="64"/>
      <c r="E3" s="64"/>
      <c r="Q3"/>
      <c r="R3"/>
      <c r="S3"/>
      <c r="T3"/>
      <c r="U3"/>
      <c r="V3"/>
      <c r="W3"/>
      <c r="X3"/>
      <c r="Y3"/>
      <c r="Z3"/>
      <c r="AA3"/>
      <c r="AB3"/>
    </row>
    <row r="4" spans="1:28">
      <c r="A4" s="63" t="s">
        <v>87</v>
      </c>
      <c r="B4" s="64"/>
      <c r="C4" s="64"/>
      <c r="D4" s="64"/>
      <c r="E4" s="64"/>
      <c r="Q4"/>
      <c r="R4"/>
      <c r="S4"/>
      <c r="T4"/>
      <c r="U4"/>
      <c r="V4"/>
      <c r="W4"/>
      <c r="X4"/>
      <c r="Y4"/>
      <c r="Z4"/>
      <c r="AA4"/>
      <c r="AB4"/>
    </row>
    <row r="5" spans="1:28" ht="18" thickBot="1">
      <c r="A5" s="47" t="s">
        <v>222</v>
      </c>
      <c r="B5" s="47"/>
      <c r="C5" s="47"/>
      <c r="D5" s="47"/>
      <c r="E5" s="47"/>
      <c r="Q5"/>
      <c r="R5"/>
      <c r="S5"/>
      <c r="T5"/>
      <c r="U5"/>
      <c r="V5"/>
      <c r="W5"/>
      <c r="X5"/>
      <c r="Y5"/>
      <c r="Z5"/>
      <c r="AA5"/>
      <c r="AB5"/>
    </row>
    <row r="6" spans="1:28" ht="16.5" thickTop="1">
      <c r="A6" s="77" t="s">
        <v>34</v>
      </c>
      <c r="B6" s="1" t="s">
        <v>212</v>
      </c>
      <c r="C6" s="1" t="s">
        <v>206</v>
      </c>
      <c r="D6" s="77"/>
      <c r="E6" s="77"/>
      <c r="F6" s="5"/>
      <c r="K6" s="1"/>
      <c r="L6" s="1"/>
      <c r="M6" s="1"/>
      <c r="N6" s="1"/>
      <c r="Q6"/>
      <c r="R6"/>
      <c r="S6"/>
      <c r="T6"/>
      <c r="U6"/>
      <c r="V6"/>
      <c r="W6"/>
      <c r="X6"/>
      <c r="Y6"/>
      <c r="Z6"/>
      <c r="AA6"/>
      <c r="AB6"/>
    </row>
    <row r="7" spans="1:28">
      <c r="A7" s="67" t="s">
        <v>65</v>
      </c>
      <c r="B7" s="21">
        <v>1019000</v>
      </c>
      <c r="C7" s="21">
        <v>350</v>
      </c>
      <c r="D7" s="77"/>
      <c r="E7" s="77"/>
      <c r="F7" s="5"/>
      <c r="K7" s="1"/>
      <c r="L7" s="1"/>
      <c r="M7" s="1"/>
      <c r="N7" s="1"/>
      <c r="Q7"/>
      <c r="R7"/>
      <c r="S7"/>
      <c r="T7"/>
      <c r="U7"/>
      <c r="V7"/>
      <c r="W7"/>
      <c r="X7"/>
      <c r="Y7"/>
      <c r="Z7"/>
      <c r="AA7"/>
      <c r="AB7"/>
    </row>
    <row r="8" spans="1:28" ht="18" thickBot="1">
      <c r="A8" s="1" t="s">
        <v>35</v>
      </c>
      <c r="B8" s="1" t="s">
        <v>3</v>
      </c>
      <c r="C8" s="1" t="s">
        <v>22</v>
      </c>
      <c r="D8" s="77" t="s">
        <v>32</v>
      </c>
      <c r="E8" s="77" t="s">
        <v>100</v>
      </c>
      <c r="G8" s="68" t="s">
        <v>70</v>
      </c>
      <c r="H8" s="68"/>
      <c r="K8" s="1"/>
      <c r="L8" s="1"/>
      <c r="M8" s="1"/>
      <c r="N8" s="1"/>
      <c r="Q8"/>
      <c r="R8"/>
      <c r="S8"/>
      <c r="T8"/>
      <c r="U8"/>
      <c r="V8"/>
      <c r="W8"/>
      <c r="X8"/>
      <c r="Y8"/>
      <c r="Z8"/>
      <c r="AA8"/>
      <c r="AB8"/>
    </row>
    <row r="9" spans="1:28" ht="16.5" thickTop="1">
      <c r="A9" s="1"/>
      <c r="B9" s="18">
        <f>B7*9.80665</f>
        <v>9992976.3499999996</v>
      </c>
      <c r="C9" s="66">
        <f>IFERROR(C7*1000/B9,0)</f>
        <v>3.5024600053216379E-2</v>
      </c>
      <c r="D9" s="18">
        <f>C7*1000*B9</f>
        <v>3497541722500</v>
      </c>
      <c r="E9" s="18">
        <f>IFERROR(D9/C9,0)</f>
        <v>99859576331659.312</v>
      </c>
      <c r="G9" s="69">
        <f>SUM(B16:E16)</f>
        <v>3.5024600053216386E-2</v>
      </c>
      <c r="H9" s="65" t="str">
        <f>IF($C$9&gt;$G$9,"Input excesive",IF($C$9&lt;$G$9,"Output excessive","Equal"))</f>
        <v>Equal</v>
      </c>
      <c r="K9" s="1"/>
      <c r="L9" s="1"/>
      <c r="M9" s="1"/>
      <c r="N9" s="1"/>
      <c r="Q9"/>
      <c r="R9"/>
      <c r="S9"/>
      <c r="T9"/>
      <c r="U9"/>
      <c r="V9"/>
      <c r="W9"/>
      <c r="X9"/>
      <c r="Y9"/>
      <c r="Z9"/>
      <c r="AA9"/>
      <c r="AB9"/>
    </row>
    <row r="10" spans="1:28" s="64" customFormat="1" ht="16.5" customHeight="1">
      <c r="A10" s="77"/>
      <c r="B10" s="77"/>
      <c r="C10" s="77"/>
      <c r="D10" s="77"/>
      <c r="E10" s="77"/>
      <c r="J10"/>
      <c r="K10" s="1"/>
      <c r="L10" s="1"/>
      <c r="M10" s="1"/>
      <c r="N10" s="1"/>
      <c r="O10" s="2"/>
      <c r="P10" s="2"/>
      <c r="Q10"/>
      <c r="R10"/>
      <c r="S10"/>
      <c r="T10"/>
      <c r="U10"/>
      <c r="V10"/>
      <c r="W10"/>
      <c r="X10"/>
      <c r="Y10"/>
      <c r="Z10"/>
      <c r="AA10"/>
      <c r="AB10"/>
    </row>
    <row r="11" spans="1:28">
      <c r="A11" s="77"/>
      <c r="B11" s="77"/>
      <c r="C11" s="77"/>
      <c r="D11" s="77"/>
      <c r="E11" s="77"/>
      <c r="G11" s="64"/>
      <c r="H11" s="64"/>
      <c r="I11" s="64"/>
      <c r="K11" s="1"/>
      <c r="L11" s="1"/>
      <c r="M11" s="1"/>
      <c r="N11" s="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6.5" thickBot="1">
      <c r="A12" s="67" t="s">
        <v>64</v>
      </c>
      <c r="B12" s="16">
        <v>1</v>
      </c>
      <c r="C12" s="16">
        <v>1</v>
      </c>
      <c r="D12" s="15"/>
      <c r="E12" s="16"/>
      <c r="G12" s="70" t="s">
        <v>86</v>
      </c>
      <c r="H12" s="70" t="s">
        <v>89</v>
      </c>
      <c r="I12" s="70" t="s">
        <v>90</v>
      </c>
      <c r="K12" s="1"/>
      <c r="L12" s="1"/>
      <c r="M12" s="1"/>
      <c r="N12" s="1"/>
      <c r="Q12"/>
      <c r="R12"/>
      <c r="S12"/>
      <c r="T12"/>
      <c r="U12"/>
      <c r="V12"/>
      <c r="W12"/>
      <c r="X12"/>
      <c r="Y12"/>
      <c r="Z12"/>
      <c r="AA12"/>
      <c r="AB12"/>
    </row>
    <row r="13" spans="1:28">
      <c r="A13" s="1" t="s">
        <v>63</v>
      </c>
      <c r="B13" s="13" t="s">
        <v>28</v>
      </c>
      <c r="C13" s="13" t="s">
        <v>231</v>
      </c>
      <c r="D13" s="13"/>
      <c r="E13" s="63" t="s">
        <v>31</v>
      </c>
      <c r="G13" s="71">
        <f>IFERROR(E15/I13,"-")</f>
        <v>0</v>
      </c>
      <c r="H13" s="72" t="str">
        <f>IFERROR(E12/G13,"-")</f>
        <v>-</v>
      </c>
      <c r="I13" s="73">
        <v>18.8</v>
      </c>
      <c r="K13" s="1"/>
      <c r="L13" s="1"/>
      <c r="M13" s="1"/>
      <c r="N13" s="1"/>
      <c r="Q13"/>
      <c r="R13"/>
      <c r="S13"/>
      <c r="T13"/>
      <c r="U13"/>
      <c r="V13"/>
      <c r="W13"/>
      <c r="X13"/>
      <c r="Y13"/>
      <c r="Z13"/>
      <c r="AA13"/>
      <c r="AB13"/>
    </row>
    <row r="14" spans="1:28" ht="16.5" thickBot="1">
      <c r="A14" s="1" t="s">
        <v>24</v>
      </c>
      <c r="B14" s="8">
        <f>IFERROR(VLOOKUP(B13,Database!$A$2:$B$63,2,0),"-")</f>
        <v>7.0849999999999996E-2</v>
      </c>
      <c r="C14" s="8">
        <f>IFERROR(VLOOKUP(C13,Database!$A$2:$B$63,2,0),"-")</f>
        <v>8.6000000000000007E-2</v>
      </c>
      <c r="D14" s="8" t="str">
        <f>IFERROR(VLOOKUP(D13,Database!$A$2:$B$63,2,0),"-")</f>
        <v>-</v>
      </c>
      <c r="E14" s="9">
        <v>0</v>
      </c>
      <c r="Q14"/>
      <c r="R14"/>
      <c r="S14"/>
      <c r="T14"/>
      <c r="U14"/>
      <c r="V14"/>
      <c r="W14"/>
      <c r="X14"/>
      <c r="Y14"/>
      <c r="Z14"/>
      <c r="AA14"/>
      <c r="AB14"/>
    </row>
    <row r="15" spans="1:28" ht="16.5" thickTop="1">
      <c r="A15" s="67" t="s">
        <v>71</v>
      </c>
      <c r="B15" s="76">
        <f>IFERROR(C9*B12/SUM(B17:D17),"-")</f>
        <v>0.22329996846169195</v>
      </c>
      <c r="C15" s="76">
        <f>IFERROR(C9*C12/SUM(B17:D17),"-")</f>
        <v>0.22329996846169195</v>
      </c>
      <c r="D15" s="69">
        <f>IFERROR(C9*D12/SUM(B17:D17),"-")</f>
        <v>0</v>
      </c>
      <c r="E15" s="69">
        <f>IFERROR(C9*E12/SUM(B17:D17),0)</f>
        <v>0</v>
      </c>
      <c r="Q15" s="5"/>
      <c r="R15" s="5"/>
      <c r="S15" s="5"/>
      <c r="T15" s="5"/>
      <c r="U15" s="5"/>
      <c r="V15" s="5"/>
      <c r="W15"/>
      <c r="X15"/>
      <c r="Y15"/>
      <c r="Z15"/>
      <c r="AA15"/>
      <c r="AB15"/>
    </row>
    <row r="16" spans="1:28">
      <c r="A16" s="1" t="s">
        <v>229</v>
      </c>
      <c r="B16" s="65">
        <f>IFERROR($B$14*$B$15,"-")</f>
        <v>1.5820802765510875E-2</v>
      </c>
      <c r="C16" s="65">
        <f t="shared" ref="C16:D16" si="0">IFERROR(C14*C15,"-")</f>
        <v>1.920379728770551E-2</v>
      </c>
      <c r="D16" s="65" t="str">
        <f t="shared" si="0"/>
        <v>-</v>
      </c>
      <c r="E16" s="65">
        <f>E14*E15</f>
        <v>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/>
      <c r="X16"/>
      <c r="Y16"/>
      <c r="Z16"/>
      <c r="AA16"/>
      <c r="AB16"/>
    </row>
    <row r="17" spans="1:28">
      <c r="A17" s="1" t="s">
        <v>69</v>
      </c>
      <c r="B17" s="65">
        <f>IFERROR(B12*B14,"-")</f>
        <v>7.0849999999999996E-2</v>
      </c>
      <c r="C17" s="65">
        <f t="shared" ref="C17:D17" si="1">IFERROR(C12*C14,"-")</f>
        <v>8.6000000000000007E-2</v>
      </c>
      <c r="D17" s="65" t="str">
        <f t="shared" si="1"/>
        <v>-</v>
      </c>
      <c r="E17" s="6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/>
      <c r="X17"/>
      <c r="Y17"/>
      <c r="Z17"/>
      <c r="AA17"/>
      <c r="AB17"/>
    </row>
    <row r="18" spans="1:28">
      <c r="A18" s="77"/>
      <c r="B18" s="1"/>
      <c r="C18" s="1"/>
      <c r="D18" s="1"/>
      <c r="E18" s="1"/>
      <c r="G18" s="64"/>
      <c r="H18" s="64"/>
      <c r="I18" s="6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/>
      <c r="X18"/>
      <c r="Y18"/>
      <c r="Z18"/>
      <c r="AA18"/>
      <c r="AB18"/>
    </row>
    <row r="19" spans="1:28">
      <c r="A19" s="1"/>
      <c r="B19" s="1"/>
      <c r="C19" s="1"/>
      <c r="D19" s="1"/>
      <c r="E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/>
      <c r="X19"/>
      <c r="Y19"/>
      <c r="Z19"/>
      <c r="AA19"/>
      <c r="AB19"/>
    </row>
    <row r="20" spans="1:28" ht="18" thickBot="1">
      <c r="A20" s="6" t="s">
        <v>223</v>
      </c>
      <c r="B20" s="6"/>
      <c r="C20" s="6"/>
      <c r="D20" s="6"/>
      <c r="E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/>
      <c r="X20"/>
      <c r="Y20"/>
      <c r="Z20"/>
      <c r="AA20"/>
      <c r="AB20"/>
    </row>
    <row r="21" spans="1:28" ht="16.5" thickTop="1">
      <c r="A21" s="5" t="s">
        <v>34</v>
      </c>
      <c r="B21" s="2" t="s">
        <v>212</v>
      </c>
      <c r="C21" s="2" t="s">
        <v>206</v>
      </c>
      <c r="D21" s="5"/>
      <c r="E21" s="5"/>
      <c r="F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/>
      <c r="X21"/>
      <c r="Y21"/>
      <c r="Z21"/>
      <c r="AA21"/>
      <c r="AB21"/>
    </row>
    <row r="22" spans="1:28">
      <c r="A22" s="67" t="s">
        <v>65</v>
      </c>
      <c r="B22" s="21">
        <v>428</v>
      </c>
      <c r="C22" s="21">
        <v>1</v>
      </c>
      <c r="D22" s="5"/>
      <c r="E22" s="5"/>
      <c r="F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/>
      <c r="X22"/>
      <c r="Y22"/>
      <c r="Z22"/>
      <c r="AA22"/>
      <c r="AB22"/>
    </row>
    <row r="23" spans="1:28" ht="18" thickBot="1">
      <c r="A23" s="2" t="s">
        <v>35</v>
      </c>
      <c r="B23" s="2" t="s">
        <v>3</v>
      </c>
      <c r="C23" s="2" t="s">
        <v>22</v>
      </c>
      <c r="D23" s="5" t="s">
        <v>32</v>
      </c>
      <c r="E23" s="5" t="s">
        <v>100</v>
      </c>
      <c r="G23" s="68" t="s">
        <v>70</v>
      </c>
      <c r="H23" s="68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/>
      <c r="X23"/>
      <c r="Y23"/>
      <c r="Z23"/>
      <c r="AA23"/>
      <c r="AB23"/>
    </row>
    <row r="24" spans="1:28" ht="16.5" thickTop="1">
      <c r="B24" s="18">
        <f>B22*9.80665</f>
        <v>4197.2461999999996</v>
      </c>
      <c r="C24" s="66">
        <f>IFERROR(C22*1000/B24,0)</f>
        <v>0.2382514516303571</v>
      </c>
      <c r="D24" s="18">
        <f>C22*1000*B24</f>
        <v>4197246.1999999993</v>
      </c>
      <c r="E24" s="18">
        <f>IFERROR(D24/C24,0)</f>
        <v>17616875.663414434</v>
      </c>
      <c r="G24" s="69">
        <f>SUM(B31:E31)</f>
        <v>0.2382514516303571</v>
      </c>
      <c r="H24" s="65" t="str">
        <f>IF($C$9&gt;$G$9,"Input excesive",IF($C$9&lt;$G$9,"Output excessive","Equal"))</f>
        <v>Equal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/>
      <c r="X24"/>
      <c r="Y24"/>
      <c r="Z24"/>
      <c r="AA24"/>
      <c r="AB24"/>
    </row>
    <row r="25" spans="1:28">
      <c r="A25" s="64"/>
      <c r="B25" s="64"/>
      <c r="C25" s="64"/>
      <c r="D25" s="64"/>
      <c r="E25" s="64"/>
      <c r="F25" s="64"/>
      <c r="G25" s="64"/>
      <c r="H25" s="64"/>
      <c r="I25" s="64"/>
      <c r="J25" s="64"/>
    </row>
    <row r="26" spans="1:28">
      <c r="A26" s="64"/>
      <c r="B26" s="64"/>
      <c r="C26" s="64"/>
      <c r="D26" s="64"/>
      <c r="E26" s="64"/>
      <c r="G26" s="64"/>
      <c r="H26" s="64"/>
      <c r="I26" s="64"/>
      <c r="J26" s="64"/>
    </row>
    <row r="27" spans="1:28" ht="16.5" thickBot="1">
      <c r="A27" s="67" t="s">
        <v>64</v>
      </c>
      <c r="B27" s="16">
        <v>1</v>
      </c>
      <c r="C27" s="16">
        <v>4</v>
      </c>
      <c r="D27" s="75"/>
      <c r="E27" s="16">
        <v>5</v>
      </c>
      <c r="G27" s="70" t="s">
        <v>86</v>
      </c>
      <c r="H27" s="70" t="s">
        <v>89</v>
      </c>
      <c r="I27" s="70" t="s">
        <v>90</v>
      </c>
      <c r="J27" s="64"/>
    </row>
    <row r="28" spans="1:28">
      <c r="A28" s="1" t="s">
        <v>63</v>
      </c>
      <c r="B28" s="13" t="s">
        <v>54</v>
      </c>
      <c r="C28" s="13" t="s">
        <v>51</v>
      </c>
      <c r="D28" s="13"/>
      <c r="E28" s="63" t="s">
        <v>31</v>
      </c>
      <c r="G28" s="71">
        <f>IFERROR(E30/I28,"-")</f>
        <v>8.8982934663714552E-3</v>
      </c>
      <c r="H28" s="72">
        <f>IFERROR(E27/G28,"-")</f>
        <v>561.90549557576003</v>
      </c>
      <c r="I28" s="73">
        <v>18.8</v>
      </c>
      <c r="J28" s="64"/>
    </row>
    <row r="29" spans="1:28" ht="16.5" thickBot="1">
      <c r="A29" s="1" t="s">
        <v>24</v>
      </c>
      <c r="B29" s="8">
        <f>IFERROR(VLOOKUP(B28,Database!$A$2:$B$63,2,0),"-")</f>
        <v>5.7050000000000001</v>
      </c>
      <c r="C29" s="8">
        <f>IFERROR(VLOOKUP(C28,Database!$A$2:$B$63,2,0),"-")</f>
        <v>0.35399999999999998</v>
      </c>
      <c r="D29" s="8" t="str">
        <f>IFERROR(VLOOKUP(D28,Database!$A$2:$B$63,2,0),"-")</f>
        <v>-</v>
      </c>
      <c r="E29" s="9">
        <v>0</v>
      </c>
      <c r="J29" s="64"/>
    </row>
    <row r="30" spans="1:28" ht="16.5" thickTop="1">
      <c r="A30" s="67" t="s">
        <v>71</v>
      </c>
      <c r="B30" s="69">
        <f>IFERROR(C24*B27/SUM(B32:D32),"-")</f>
        <v>3.3457583433556676E-2</v>
      </c>
      <c r="C30" s="69">
        <f>IFERROR(C24*C27/SUM(B32:D32),"-")</f>
        <v>0.1338303337342267</v>
      </c>
      <c r="D30" s="69">
        <f>IFERROR(C24*D27/SUM(B32:D32),"-")</f>
        <v>0</v>
      </c>
      <c r="E30" s="69">
        <f>IFERROR(C24*E27/SUM(B32:D32),0)</f>
        <v>0.16728791716778338</v>
      </c>
      <c r="J30" s="64"/>
    </row>
    <row r="31" spans="1:28">
      <c r="A31" s="1" t="s">
        <v>229</v>
      </c>
      <c r="B31" s="65">
        <f>IFERROR($B$29*$B$30,"-")</f>
        <v>0.19087551348844084</v>
      </c>
      <c r="C31" s="65">
        <f t="shared" ref="C31:D31" si="2">IFERROR(C29*C30,"-")</f>
        <v>4.7375938141916249E-2</v>
      </c>
      <c r="D31" s="65" t="str">
        <f t="shared" si="2"/>
        <v>-</v>
      </c>
      <c r="E31" s="65">
        <f>E29*E30</f>
        <v>0</v>
      </c>
      <c r="J31" s="64"/>
    </row>
    <row r="32" spans="1:28">
      <c r="A32" s="1" t="s">
        <v>69</v>
      </c>
      <c r="B32" s="65">
        <f>IFERROR(B27*B29,"-")</f>
        <v>5.7050000000000001</v>
      </c>
      <c r="C32" s="65">
        <f t="shared" ref="C32:D32" si="3">IFERROR(C27*C29,"-")</f>
        <v>1.4159999999999999</v>
      </c>
      <c r="D32" s="65" t="str">
        <f t="shared" si="3"/>
        <v>-</v>
      </c>
      <c r="E32" s="65"/>
      <c r="H32" s="74"/>
      <c r="J32" s="64"/>
    </row>
    <row r="33" spans="1:10">
      <c r="A33" s="5"/>
      <c r="G33" s="64"/>
      <c r="H33" s="64"/>
      <c r="I33" s="64"/>
      <c r="J33" s="64"/>
    </row>
    <row r="34" spans="1:10">
      <c r="D34"/>
      <c r="J34" s="64"/>
    </row>
    <row r="35" spans="1:10">
      <c r="D35"/>
      <c r="J35" s="64"/>
    </row>
    <row r="36" spans="1:10">
      <c r="J36" s="64"/>
    </row>
    <row r="37" spans="1:10">
      <c r="A37" s="64"/>
      <c r="B37" s="64"/>
      <c r="C37" s="64"/>
      <c r="D37" s="64"/>
      <c r="E37" s="64"/>
      <c r="F37" s="64"/>
      <c r="G37" s="64"/>
      <c r="H37" s="64"/>
      <c r="I37" s="64"/>
      <c r="J37" s="64"/>
    </row>
    <row r="38" spans="1:10">
      <c r="A38" s="64"/>
      <c r="B38" s="64"/>
      <c r="C38" s="64"/>
      <c r="D38" s="64"/>
      <c r="E38" s="64"/>
      <c r="F38" s="64"/>
      <c r="G38" s="64"/>
      <c r="H38" s="64"/>
      <c r="I38" s="64"/>
      <c r="J38" s="64"/>
    </row>
    <row r="39" spans="1:10">
      <c r="A39" s="64"/>
      <c r="B39" s="64"/>
      <c r="C39" s="64"/>
      <c r="D39" s="64"/>
      <c r="E39" s="64"/>
      <c r="F39" s="64"/>
      <c r="G39" s="64"/>
      <c r="H39" s="64"/>
      <c r="I39" s="64"/>
      <c r="J39" s="64"/>
    </row>
    <row r="40" spans="1:10">
      <c r="A40" s="64"/>
      <c r="B40" s="64"/>
      <c r="C40" s="64"/>
      <c r="D40" s="64"/>
      <c r="E40" s="64"/>
      <c r="F40" s="64"/>
      <c r="G40" s="64"/>
      <c r="H40" s="64"/>
      <c r="I40" s="64"/>
      <c r="J40" s="64"/>
    </row>
    <row r="41" spans="1:10">
      <c r="A41" s="64"/>
      <c r="B41" s="64"/>
      <c r="C41" s="64"/>
      <c r="D41" s="64"/>
      <c r="E41" s="64"/>
      <c r="F41" s="64"/>
      <c r="G41" s="64"/>
      <c r="H41" s="64"/>
      <c r="I41" s="64"/>
      <c r="J41" s="64"/>
    </row>
    <row r="42" spans="1:10">
      <c r="A42" s="64"/>
      <c r="B42" s="64"/>
      <c r="C42" s="64"/>
      <c r="D42" s="64"/>
      <c r="E42" s="64"/>
      <c r="F42" s="64"/>
      <c r="G42" s="64"/>
      <c r="H42" s="64"/>
      <c r="I42" s="64"/>
      <c r="J42" s="64"/>
    </row>
    <row r="43" spans="1:10">
      <c r="A43" s="64"/>
      <c r="B43" s="64"/>
      <c r="C43" s="64"/>
      <c r="D43" s="64"/>
      <c r="E43" s="64"/>
      <c r="F43" s="64"/>
      <c r="G43" s="64"/>
      <c r="H43" s="64"/>
      <c r="I43" s="64"/>
      <c r="J43" s="64"/>
    </row>
    <row r="44" spans="1:10">
      <c r="A44" s="64"/>
      <c r="B44" s="64"/>
      <c r="C44" s="64"/>
      <c r="D44" s="64"/>
      <c r="E44" s="64"/>
      <c r="F44" s="64"/>
      <c r="G44" s="64"/>
      <c r="H44" s="64"/>
      <c r="I44" s="64"/>
      <c r="J44" s="64"/>
    </row>
    <row r="45" spans="1:10">
      <c r="A45" s="64"/>
      <c r="B45" s="64"/>
      <c r="C45" s="64"/>
      <c r="D45" s="64"/>
      <c r="E45" s="64"/>
      <c r="F45" s="64"/>
      <c r="G45" s="64"/>
      <c r="H45" s="64"/>
      <c r="I45" s="64"/>
      <c r="J45" s="64"/>
    </row>
    <row r="46" spans="1:10">
      <c r="A46" s="64"/>
      <c r="B46" s="64"/>
      <c r="C46" s="64"/>
      <c r="D46" s="64"/>
      <c r="E46" s="64"/>
      <c r="F46" s="64"/>
      <c r="G46" s="64"/>
      <c r="H46" s="64"/>
      <c r="I46" s="64"/>
      <c r="J46" s="64"/>
    </row>
    <row r="47" spans="1:10">
      <c r="A47" s="64"/>
      <c r="B47" s="64"/>
      <c r="C47" s="64"/>
      <c r="D47" s="64"/>
      <c r="E47" s="64"/>
      <c r="F47" s="64"/>
      <c r="G47" s="64"/>
      <c r="H47" s="64"/>
      <c r="I47" s="64"/>
      <c r="J47" s="64"/>
    </row>
    <row r="48" spans="1:10">
      <c r="A48" s="64"/>
      <c r="B48" s="64"/>
      <c r="C48" s="64"/>
      <c r="D48" s="64"/>
      <c r="E48" s="64"/>
      <c r="F48" s="64"/>
      <c r="G48" s="64"/>
      <c r="H48" s="64"/>
      <c r="I48" s="64"/>
      <c r="J48" s="64"/>
    </row>
    <row r="49" spans="1:10">
      <c r="A49" s="64"/>
      <c r="B49" s="64"/>
      <c r="C49" s="64"/>
      <c r="D49" s="64"/>
      <c r="E49" s="64"/>
      <c r="F49" s="64"/>
      <c r="G49" s="64"/>
      <c r="H49" s="64"/>
      <c r="I49" s="64"/>
      <c r="J49" s="64"/>
    </row>
    <row r="50" spans="1:10">
      <c r="A50" s="64"/>
      <c r="B50" s="64"/>
      <c r="C50" s="64"/>
      <c r="D50" s="64"/>
      <c r="E50" s="64"/>
      <c r="F50" s="64"/>
      <c r="G50" s="64"/>
      <c r="H50" s="64"/>
      <c r="I50" s="64"/>
      <c r="J50" s="64"/>
    </row>
    <row r="51" spans="1:10">
      <c r="A51" s="64"/>
      <c r="B51" s="64"/>
      <c r="C51" s="64"/>
      <c r="D51" s="64"/>
      <c r="E51" s="64"/>
      <c r="F51" s="64"/>
      <c r="G51" s="64"/>
      <c r="H51" s="64"/>
      <c r="I51" s="64"/>
      <c r="J51" s="64"/>
    </row>
    <row r="52" spans="1:10">
      <c r="A52" s="64"/>
      <c r="B52" s="64"/>
      <c r="C52" s="64"/>
      <c r="D52" s="64"/>
      <c r="E52" s="64"/>
      <c r="F52" s="64"/>
      <c r="G52" s="64"/>
      <c r="H52" s="64"/>
      <c r="I52" s="64"/>
      <c r="J52" s="64"/>
    </row>
    <row r="53" spans="1:10">
      <c r="A53" s="64"/>
      <c r="B53" s="64"/>
      <c r="C53" s="64"/>
      <c r="D53" s="64"/>
      <c r="E53" s="64"/>
      <c r="F53" s="64"/>
      <c r="G53" s="64"/>
      <c r="H53" s="64"/>
      <c r="I53" s="64"/>
      <c r="J53" s="64"/>
    </row>
    <row r="54" spans="1:10">
      <c r="A54" s="64"/>
      <c r="B54" s="64"/>
      <c r="C54" s="64"/>
      <c r="D54" s="64"/>
      <c r="E54" s="64"/>
      <c r="F54" s="64"/>
      <c r="G54" s="64"/>
      <c r="H54" s="64"/>
      <c r="I54" s="64"/>
      <c r="J54" s="64"/>
    </row>
    <row r="55" spans="1:10">
      <c r="A55" s="64"/>
      <c r="B55" s="64"/>
      <c r="C55" s="64"/>
      <c r="D55" s="64"/>
      <c r="E55" s="64"/>
      <c r="F55" s="64"/>
      <c r="G55" s="64"/>
      <c r="H55" s="64"/>
      <c r="I55" s="64"/>
      <c r="J55" s="64"/>
    </row>
    <row r="56" spans="1:10">
      <c r="A56" s="64"/>
      <c r="B56" s="64"/>
      <c r="C56" s="64"/>
      <c r="D56" s="64"/>
      <c r="E56" s="64"/>
      <c r="F56" s="64"/>
      <c r="G56" s="64"/>
      <c r="H56" s="64"/>
      <c r="I56" s="64"/>
      <c r="J56" s="64"/>
    </row>
    <row r="57" spans="1:10">
      <c r="A57" s="64"/>
      <c r="B57" s="64"/>
      <c r="C57" s="64"/>
      <c r="D57" s="64"/>
      <c r="E57" s="64"/>
      <c r="F57" s="64"/>
      <c r="G57" s="64"/>
      <c r="H57" s="64"/>
      <c r="I57" s="64"/>
      <c r="J57" s="64"/>
    </row>
    <row r="58" spans="1:10">
      <c r="A58" s="64"/>
      <c r="B58" s="64"/>
      <c r="C58" s="64"/>
      <c r="D58" s="64"/>
      <c r="E58" s="64"/>
      <c r="F58" s="64"/>
      <c r="G58" s="64"/>
      <c r="H58" s="64"/>
      <c r="I58" s="64"/>
      <c r="J58" s="64"/>
    </row>
    <row r="59" spans="1:10">
      <c r="A59" s="64"/>
      <c r="B59" s="64"/>
      <c r="C59" s="64"/>
      <c r="D59" s="64"/>
      <c r="E59" s="64"/>
      <c r="F59" s="64"/>
      <c r="G59" s="64"/>
      <c r="H59" s="64"/>
      <c r="I59" s="64"/>
      <c r="J59" s="64"/>
    </row>
    <row r="60" spans="1:10">
      <c r="A60" s="64"/>
      <c r="B60" s="64"/>
      <c r="C60" s="64"/>
      <c r="D60" s="64"/>
      <c r="E60" s="64"/>
      <c r="F60" s="64"/>
      <c r="G60" s="64"/>
      <c r="H60" s="64"/>
      <c r="I60" s="64"/>
      <c r="J60" s="64"/>
    </row>
    <row r="61" spans="1:10">
      <c r="A61" s="64"/>
      <c r="B61" s="64"/>
      <c r="C61" s="64"/>
      <c r="D61" s="64"/>
      <c r="E61" s="64"/>
      <c r="F61" s="64"/>
      <c r="G61" s="64"/>
      <c r="H61" s="64"/>
      <c r="I61" s="64"/>
      <c r="J61" s="64"/>
    </row>
    <row r="62" spans="1:10">
      <c r="A62" s="64"/>
      <c r="B62" s="64"/>
      <c r="C62" s="64"/>
      <c r="D62" s="64"/>
      <c r="E62" s="64"/>
      <c r="F62" s="64"/>
      <c r="G62" s="64"/>
      <c r="H62" s="64"/>
      <c r="I62" s="64"/>
      <c r="J62" s="64"/>
    </row>
    <row r="63" spans="1:10">
      <c r="A63" s="64"/>
      <c r="B63" s="64"/>
      <c r="C63" s="64"/>
      <c r="D63" s="64"/>
      <c r="E63" s="64"/>
      <c r="F63" s="64"/>
      <c r="G63" s="64"/>
      <c r="H63" s="64"/>
      <c r="I63" s="64"/>
      <c r="J63" s="64"/>
    </row>
    <row r="64" spans="1:10">
      <c r="A64" s="64"/>
      <c r="B64" s="64"/>
      <c r="C64" s="64"/>
      <c r="D64" s="64"/>
      <c r="E64" s="64"/>
      <c r="F64" s="64"/>
      <c r="G64" s="64"/>
      <c r="H64" s="64"/>
      <c r="I64" s="64"/>
      <c r="J64" s="64"/>
    </row>
    <row r="65" spans="1:10">
      <c r="A65" s="64"/>
      <c r="B65" s="64"/>
      <c r="C65" s="64"/>
      <c r="D65" s="64"/>
      <c r="E65" s="64"/>
      <c r="F65" s="64"/>
      <c r="G65" s="64"/>
      <c r="H65" s="64"/>
      <c r="I65" s="64"/>
      <c r="J65" s="64"/>
    </row>
    <row r="66" spans="1:10">
      <c r="A66" s="64"/>
      <c r="B66" s="64"/>
      <c r="C66" s="64"/>
      <c r="D66" s="64"/>
      <c r="E66" s="64"/>
      <c r="F66" s="64"/>
      <c r="G66" s="64"/>
      <c r="H66" s="64"/>
      <c r="I66" s="64"/>
      <c r="J66" s="64"/>
    </row>
    <row r="67" spans="1:10">
      <c r="A67" s="64"/>
      <c r="B67" s="64"/>
      <c r="C67" s="64"/>
      <c r="D67" s="64"/>
      <c r="E67" s="64"/>
      <c r="F67" s="64"/>
      <c r="G67" s="64"/>
      <c r="H67" s="64"/>
      <c r="I67" s="64"/>
      <c r="J67" s="64"/>
    </row>
    <row r="68" spans="1:10">
      <c r="A68" s="64"/>
      <c r="B68" s="64"/>
      <c r="C68" s="64"/>
      <c r="D68" s="64"/>
      <c r="E68" s="64"/>
      <c r="F68" s="64"/>
      <c r="G68" s="64"/>
      <c r="H68" s="64"/>
      <c r="I68" s="64"/>
      <c r="J68" s="64"/>
    </row>
    <row r="69" spans="1:10">
      <c r="A69" s="64"/>
      <c r="B69" s="64"/>
      <c r="C69" s="64"/>
      <c r="D69" s="64"/>
      <c r="E69" s="64"/>
      <c r="F69" s="64"/>
      <c r="G69" s="64"/>
      <c r="H69" s="64"/>
      <c r="I69" s="64"/>
      <c r="J69" s="64"/>
    </row>
    <row r="70" spans="1:10">
      <c r="A70" s="64"/>
      <c r="B70" s="64"/>
      <c r="C70" s="64"/>
      <c r="D70" s="64"/>
      <c r="E70" s="64"/>
      <c r="F70" s="64"/>
      <c r="G70" s="64"/>
      <c r="H70" s="64"/>
      <c r="I70" s="64"/>
      <c r="J70" s="64"/>
    </row>
    <row r="71" spans="1:10">
      <c r="A71" s="64"/>
      <c r="B71" s="64"/>
      <c r="C71" s="64"/>
      <c r="D71" s="64"/>
      <c r="E71" s="64"/>
      <c r="F71" s="64"/>
      <c r="G71" s="64"/>
      <c r="H71" s="64"/>
      <c r="I71" s="64"/>
      <c r="J71" s="64"/>
    </row>
    <row r="72" spans="1:10">
      <c r="A72" s="64"/>
      <c r="B72" s="64"/>
      <c r="C72" s="64"/>
      <c r="D72" s="64"/>
      <c r="E72" s="64"/>
      <c r="F72" s="64"/>
      <c r="G72" s="64"/>
      <c r="H72" s="64"/>
      <c r="I72" s="64"/>
      <c r="J72" s="64"/>
    </row>
    <row r="73" spans="1:10">
      <c r="A73" s="64"/>
      <c r="B73" s="64"/>
      <c r="C73" s="64"/>
      <c r="D73" s="64"/>
      <c r="E73" s="64"/>
      <c r="F73" s="64"/>
      <c r="G73" s="64"/>
      <c r="H73" s="64"/>
      <c r="I73" s="64"/>
      <c r="J73" s="64"/>
    </row>
    <row r="74" spans="1:10">
      <c r="A74" s="64"/>
      <c r="B74" s="64"/>
      <c r="C74" s="64"/>
      <c r="D74" s="64"/>
      <c r="E74" s="64"/>
      <c r="F74" s="64"/>
      <c r="G74" s="64"/>
      <c r="H74" s="64"/>
      <c r="I74" s="64"/>
      <c r="J74" s="64"/>
    </row>
    <row r="75" spans="1:10">
      <c r="A75" s="64"/>
      <c r="B75" s="64"/>
      <c r="C75" s="64"/>
      <c r="D75" s="64"/>
      <c r="E75" s="64"/>
      <c r="F75" s="64"/>
      <c r="G75" s="64"/>
      <c r="H75" s="64"/>
      <c r="I75" s="64"/>
      <c r="J75" s="64"/>
    </row>
    <row r="76" spans="1:10">
      <c r="A76" s="64"/>
      <c r="B76" s="64"/>
      <c r="C76" s="64"/>
      <c r="D76" s="64"/>
      <c r="E76" s="64"/>
      <c r="F76" s="64"/>
      <c r="G76" s="64"/>
      <c r="H76" s="64"/>
      <c r="I76" s="64"/>
      <c r="J76" s="64"/>
    </row>
    <row r="77" spans="1:10">
      <c r="A77" s="64"/>
      <c r="B77" s="64"/>
      <c r="C77" s="64"/>
      <c r="D77" s="64"/>
      <c r="E77" s="64"/>
      <c r="F77" s="64"/>
      <c r="G77" s="64"/>
      <c r="H77" s="64"/>
      <c r="I77" s="64"/>
      <c r="J77" s="64"/>
    </row>
    <row r="78" spans="1:10">
      <c r="A78" s="64"/>
      <c r="B78" s="64"/>
      <c r="C78" s="64"/>
      <c r="D78" s="64"/>
      <c r="E78" s="64"/>
      <c r="F78" s="64"/>
      <c r="G78" s="64"/>
      <c r="H78" s="64"/>
      <c r="I78" s="64"/>
      <c r="J78" s="64"/>
    </row>
    <row r="79" spans="1:10">
      <c r="A79" s="64"/>
      <c r="B79" s="64"/>
      <c r="C79" s="64"/>
      <c r="D79" s="64"/>
      <c r="E79" s="64"/>
      <c r="F79" s="64"/>
      <c r="G79" s="64"/>
      <c r="H79" s="64"/>
      <c r="I79" s="64"/>
      <c r="J79" s="64"/>
    </row>
    <row r="80" spans="1:10">
      <c r="A80" s="64"/>
      <c r="B80" s="64"/>
      <c r="C80" s="64"/>
      <c r="D80" s="64"/>
      <c r="E80" s="64"/>
      <c r="F80" s="64"/>
      <c r="G80" s="64"/>
      <c r="H80" s="64"/>
      <c r="I80" s="64"/>
      <c r="J80" s="64"/>
    </row>
  </sheetData>
  <mergeCells count="1">
    <mergeCell ref="A1:E1"/>
  </mergeCells>
  <pageMargins left="1" right="1" top="1.6666666666666667" bottom="1.6666666666666667" header="1" footer="1"/>
  <pageSetup firstPageNumber="4294967295" fitToWidth="0" fitToHeight="0" orientation="portrait" cellComments="asDisplayed" r:id="rId1"/>
  <headerFooter alignWithMargins="0">
    <oddHeader>&amp;C&amp;A</oddHeader>
    <oddFooter>&amp;CPage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>
          <x14:formula1>
            <xm:f>Database!$A$2:$A$63</xm:f>
          </x14:formula1>
          <xm:sqref>B13:D13</xm:sqref>
        </x14:dataValidation>
        <x14:dataValidation type="list" showInputMessage="1" showErrorMessage="1">
          <x14:formula1>
            <xm:f>Database!$A$2:$A$63</xm:f>
          </x14:formula1>
          <xm:sqref>B28:D28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8"/>
  <sheetViews>
    <sheetView zoomScaleNormal="100" workbookViewId="0">
      <selection activeCell="A14" sqref="A14"/>
    </sheetView>
  </sheetViews>
  <sheetFormatPr defaultRowHeight="15.75"/>
  <cols>
    <col min="1" max="3" width="23.28515625" style="2" customWidth="1"/>
    <col min="4" max="4" width="9.140625" style="2"/>
    <col min="5" max="5" width="9.140625" style="2" customWidth="1"/>
    <col min="6" max="6" width="9.140625" style="2"/>
    <col min="7" max="7" width="23.42578125" style="2" customWidth="1"/>
    <col min="8" max="8" width="25.42578125" style="2" customWidth="1"/>
    <col min="9" max="9" width="9.140625" style="2"/>
    <col min="10" max="10" width="15.5703125" style="2" customWidth="1"/>
    <col min="11" max="256" width="9.140625" style="2"/>
    <col min="257" max="16384" width="9.140625" style="5"/>
  </cols>
  <sheetData>
    <row r="1" spans="1:10" ht="20.25" thickBot="1">
      <c r="A1" s="7" t="s">
        <v>23</v>
      </c>
      <c r="B1" s="7" t="s">
        <v>24</v>
      </c>
      <c r="G1" s="7" t="s">
        <v>23</v>
      </c>
      <c r="H1" s="7" t="s">
        <v>190</v>
      </c>
      <c r="I1" s="7" t="s">
        <v>191</v>
      </c>
      <c r="J1" s="7" t="s">
        <v>192</v>
      </c>
    </row>
    <row r="2" spans="1:10" ht="16.5" thickTop="1">
      <c r="A2" s="2" t="s">
        <v>25</v>
      </c>
      <c r="B2" s="2">
        <v>5</v>
      </c>
      <c r="G2" s="30" t="s">
        <v>114</v>
      </c>
      <c r="H2" s="30" t="s">
        <v>115</v>
      </c>
      <c r="I2" s="30">
        <v>1</v>
      </c>
      <c r="J2" s="31">
        <v>101.96</v>
      </c>
    </row>
    <row r="3" spans="1:10">
      <c r="A3" s="2" t="s">
        <v>26</v>
      </c>
      <c r="B3" s="2">
        <v>5</v>
      </c>
      <c r="G3" s="30" t="s">
        <v>116</v>
      </c>
      <c r="H3" s="30" t="s">
        <v>117</v>
      </c>
      <c r="I3" s="30">
        <v>1</v>
      </c>
      <c r="J3" s="31">
        <v>26.98</v>
      </c>
    </row>
    <row r="4" spans="1:10">
      <c r="A4" s="2" t="s">
        <v>62</v>
      </c>
      <c r="B4" s="2">
        <v>5</v>
      </c>
      <c r="G4" s="30" t="s">
        <v>118</v>
      </c>
      <c r="H4" s="30" t="s">
        <v>119</v>
      </c>
      <c r="I4" s="30">
        <v>1</v>
      </c>
      <c r="J4" s="31">
        <v>17.03</v>
      </c>
    </row>
    <row r="5" spans="1:10">
      <c r="A5" s="2" t="s">
        <v>27</v>
      </c>
      <c r="B5" s="2">
        <v>4</v>
      </c>
      <c r="G5" s="30" t="s">
        <v>40</v>
      </c>
      <c r="H5" s="30" t="s">
        <v>120</v>
      </c>
      <c r="I5" s="30">
        <v>1</v>
      </c>
      <c r="J5" s="31">
        <v>39.950000000000003</v>
      </c>
    </row>
    <row r="6" spans="1:10">
      <c r="A6" s="2" t="s">
        <v>73</v>
      </c>
      <c r="B6" s="2">
        <v>10</v>
      </c>
      <c r="G6" s="30" t="s">
        <v>219</v>
      </c>
      <c r="H6" s="30" t="s">
        <v>220</v>
      </c>
      <c r="I6" s="30">
        <v>1</v>
      </c>
      <c r="J6" s="31">
        <v>39.950000000000003</v>
      </c>
    </row>
    <row r="7" spans="1:10">
      <c r="A7" s="2" t="s">
        <v>30</v>
      </c>
      <c r="B7" s="2">
        <v>7.5</v>
      </c>
      <c r="G7" s="30" t="s">
        <v>121</v>
      </c>
      <c r="H7" s="30" t="s">
        <v>122</v>
      </c>
      <c r="I7" s="30">
        <v>1</v>
      </c>
      <c r="J7" s="31">
        <v>12.01</v>
      </c>
    </row>
    <row r="8" spans="1:10">
      <c r="A8" s="2" t="s">
        <v>36</v>
      </c>
      <c r="B8" s="2">
        <v>0.1</v>
      </c>
      <c r="G8" s="30" t="s">
        <v>123</v>
      </c>
      <c r="H8" s="30" t="s">
        <v>124</v>
      </c>
      <c r="I8" s="30">
        <v>1</v>
      </c>
      <c r="J8" s="31">
        <v>44.01</v>
      </c>
    </row>
    <row r="9" spans="1:10">
      <c r="A9"/>
      <c r="G9" s="30" t="s">
        <v>125</v>
      </c>
      <c r="H9" s="30" t="s">
        <v>126</v>
      </c>
      <c r="I9" s="30">
        <v>1</v>
      </c>
      <c r="J9" s="31">
        <v>28.01</v>
      </c>
    </row>
    <row r="10" spans="1:10" ht="18" thickBot="1">
      <c r="A10" s="6" t="s">
        <v>59</v>
      </c>
      <c r="G10" s="30" t="s">
        <v>127</v>
      </c>
      <c r="H10" s="30" t="s">
        <v>128</v>
      </c>
      <c r="I10" s="30">
        <v>1</v>
      </c>
      <c r="J10" s="31">
        <v>35.450000000000003</v>
      </c>
    </row>
    <row r="11" spans="1:10" ht="16.5" thickTop="1">
      <c r="A11" s="2" t="s">
        <v>39</v>
      </c>
      <c r="B11" s="10">
        <f>C11*1000</f>
        <v>1.0000000000000002E-6</v>
      </c>
      <c r="C11" s="11">
        <v>1.0000000000000001E-9</v>
      </c>
      <c r="G11" s="30" t="s">
        <v>129</v>
      </c>
      <c r="H11" s="30" t="s">
        <v>130</v>
      </c>
      <c r="I11" s="30">
        <v>1</v>
      </c>
      <c r="J11" s="31">
        <v>238.03</v>
      </c>
    </row>
    <row r="12" spans="1:10">
      <c r="A12" s="2" t="s">
        <v>230</v>
      </c>
      <c r="B12" s="10">
        <f>C12*1000</f>
        <v>0.01</v>
      </c>
      <c r="C12" s="11">
        <v>1.0000000000000001E-5</v>
      </c>
      <c r="G12" s="30" t="s">
        <v>131</v>
      </c>
      <c r="H12" s="30" t="s">
        <v>132</v>
      </c>
      <c r="I12" s="30">
        <v>1</v>
      </c>
      <c r="J12" s="31">
        <v>2.0139999999999998</v>
      </c>
    </row>
    <row r="13" spans="1:10">
      <c r="A13" s="2" t="s">
        <v>231</v>
      </c>
      <c r="B13" s="10">
        <f>C13*1000</f>
        <v>8.6000000000000007E-2</v>
      </c>
      <c r="C13" s="11">
        <v>8.6000000000000003E-5</v>
      </c>
      <c r="G13" s="30" t="s">
        <v>133</v>
      </c>
      <c r="H13" s="30" t="s">
        <v>134</v>
      </c>
      <c r="I13" s="30">
        <v>1</v>
      </c>
      <c r="J13" s="31">
        <v>60.08</v>
      </c>
    </row>
    <row r="14" spans="1:10">
      <c r="A14" s="2" t="s">
        <v>40</v>
      </c>
      <c r="B14" s="10">
        <f>C14*1000</f>
        <v>1.784E-3</v>
      </c>
      <c r="C14" s="11">
        <v>1.784E-6</v>
      </c>
      <c r="G14" s="30" t="s">
        <v>38</v>
      </c>
      <c r="H14" s="30" t="s">
        <v>130</v>
      </c>
      <c r="I14" s="30">
        <v>1</v>
      </c>
      <c r="J14" s="31">
        <v>238.03</v>
      </c>
    </row>
    <row r="15" spans="1:10">
      <c r="A15" s="2" t="s">
        <v>82</v>
      </c>
      <c r="B15" s="10">
        <f>C15*1000</f>
        <v>0.9</v>
      </c>
      <c r="C15" s="11">
        <v>8.9999999999999998E-4</v>
      </c>
      <c r="G15" s="30" t="s">
        <v>102</v>
      </c>
      <c r="H15" s="30" t="s">
        <v>135</v>
      </c>
      <c r="I15" s="30">
        <v>1</v>
      </c>
      <c r="J15" s="31">
        <v>46.07</v>
      </c>
    </row>
    <row r="16" spans="1:10">
      <c r="A16" s="2" t="s">
        <v>219</v>
      </c>
      <c r="B16" s="10">
        <f t="shared" ref="B16" si="0">C16*1000</f>
        <v>2.46</v>
      </c>
      <c r="C16" s="11">
        <v>2.4599999999999999E-3</v>
      </c>
      <c r="G16" s="30" t="s">
        <v>103</v>
      </c>
      <c r="H16" s="30" t="s">
        <v>136</v>
      </c>
      <c r="I16" s="30">
        <v>1</v>
      </c>
      <c r="J16" s="31">
        <v>61.206800000000001</v>
      </c>
    </row>
    <row r="17" spans="1:10">
      <c r="A17" s="2" t="s">
        <v>38</v>
      </c>
      <c r="B17" s="10">
        <f t="shared" ref="B17:B25" si="1">C17*1000</f>
        <v>10.97</v>
      </c>
      <c r="C17" s="11">
        <v>1.0970000000000001E-2</v>
      </c>
      <c r="G17" s="30" t="s">
        <v>137</v>
      </c>
      <c r="H17" s="30" t="s">
        <v>138</v>
      </c>
      <c r="I17" s="30">
        <v>1</v>
      </c>
      <c r="J17" s="31">
        <v>183.88</v>
      </c>
    </row>
    <row r="18" spans="1:10">
      <c r="A18" s="2" t="s">
        <v>102</v>
      </c>
      <c r="B18" s="10">
        <f t="shared" si="1"/>
        <v>0.78900000000000003</v>
      </c>
      <c r="C18" s="11">
        <v>7.8899999999999999E-4</v>
      </c>
      <c r="G18" s="30" t="s">
        <v>139</v>
      </c>
      <c r="H18" s="30" t="s">
        <v>140</v>
      </c>
      <c r="I18" s="30">
        <v>1</v>
      </c>
      <c r="J18" s="31">
        <v>19</v>
      </c>
    </row>
    <row r="19" spans="1:10">
      <c r="A19" s="2" t="s">
        <v>103</v>
      </c>
      <c r="B19" s="10">
        <f t="shared" si="1"/>
        <v>0.84175</v>
      </c>
      <c r="C19" s="11">
        <v>8.4175000000000005E-4</v>
      </c>
      <c r="G19" s="30" t="s">
        <v>74</v>
      </c>
      <c r="H19" s="30" t="s">
        <v>141</v>
      </c>
      <c r="I19" s="30">
        <v>1</v>
      </c>
      <c r="J19" s="31">
        <f>5.03</f>
        <v>5.03</v>
      </c>
    </row>
    <row r="20" spans="1:10">
      <c r="A20" s="2" t="s">
        <v>79</v>
      </c>
      <c r="B20" s="10">
        <f t="shared" si="1"/>
        <v>1</v>
      </c>
      <c r="C20" s="11">
        <v>1E-3</v>
      </c>
      <c r="G20" s="30" t="s">
        <v>142</v>
      </c>
      <c r="H20" s="30" t="s">
        <v>143</v>
      </c>
      <c r="I20" s="30">
        <v>1</v>
      </c>
      <c r="J20" s="31">
        <v>92.09</v>
      </c>
    </row>
    <row r="21" spans="1:10">
      <c r="A21" s="2" t="s">
        <v>74</v>
      </c>
      <c r="B21" s="10">
        <f t="shared" si="1"/>
        <v>0.216</v>
      </c>
      <c r="C21" s="11">
        <v>2.1599999999999999E-4</v>
      </c>
      <c r="G21" s="30" t="s">
        <v>144</v>
      </c>
      <c r="H21" s="30" t="s">
        <v>145</v>
      </c>
      <c r="I21" s="30">
        <v>1</v>
      </c>
      <c r="J21" s="31">
        <v>172.14</v>
      </c>
    </row>
    <row r="22" spans="1:10">
      <c r="A22" s="2" t="s">
        <v>46</v>
      </c>
      <c r="B22" s="10">
        <f t="shared" si="1"/>
        <v>2.5</v>
      </c>
      <c r="C22" s="11">
        <v>2.5000000000000001E-3</v>
      </c>
      <c r="G22" s="30" t="s">
        <v>146</v>
      </c>
      <c r="H22" s="30" t="s">
        <v>147</v>
      </c>
      <c r="I22" s="30">
        <v>1</v>
      </c>
      <c r="J22" s="31">
        <v>3.016</v>
      </c>
    </row>
    <row r="23" spans="1:10">
      <c r="A23" s="2" t="s">
        <v>47</v>
      </c>
      <c r="B23" s="10">
        <f t="shared" si="1"/>
        <v>5.8</v>
      </c>
      <c r="C23" s="11">
        <v>5.7999999999999996E-3</v>
      </c>
      <c r="G23" s="30" t="s">
        <v>148</v>
      </c>
      <c r="H23" s="30" t="s">
        <v>149</v>
      </c>
      <c r="I23" s="30">
        <v>1</v>
      </c>
      <c r="J23" s="31">
        <v>4.0019999999999998</v>
      </c>
    </row>
    <row r="24" spans="1:10">
      <c r="A24" s="2" t="s">
        <v>101</v>
      </c>
      <c r="B24" s="10">
        <f t="shared" si="1"/>
        <v>0.82</v>
      </c>
      <c r="C24" s="11">
        <v>8.1999999999999998E-4</v>
      </c>
      <c r="G24" s="30" t="s">
        <v>150</v>
      </c>
      <c r="H24" s="30" t="s">
        <v>151</v>
      </c>
      <c r="I24" s="30">
        <v>1</v>
      </c>
      <c r="J24" s="31">
        <v>34.01</v>
      </c>
    </row>
    <row r="25" spans="1:10">
      <c r="A25" s="2" t="s">
        <v>37</v>
      </c>
      <c r="B25" s="10">
        <f t="shared" si="1"/>
        <v>0.53399999999999992</v>
      </c>
      <c r="C25" s="11">
        <v>5.3399999999999997E-4</v>
      </c>
      <c r="G25" s="30" t="s">
        <v>152</v>
      </c>
      <c r="H25" s="30" t="s">
        <v>153</v>
      </c>
      <c r="I25" s="30">
        <v>1</v>
      </c>
      <c r="J25" s="31">
        <v>168.69</v>
      </c>
    </row>
    <row r="26" spans="1:10">
      <c r="A26" s="2" t="s">
        <v>225</v>
      </c>
      <c r="B26" s="10">
        <f t="shared" ref="B26" si="2">C26*1000</f>
        <v>8.6964000000000006</v>
      </c>
      <c r="C26" s="11">
        <v>8.6964E-3</v>
      </c>
      <c r="G26" s="30" t="s">
        <v>154</v>
      </c>
      <c r="H26" s="30" t="s">
        <v>155</v>
      </c>
      <c r="I26" s="30">
        <v>1</v>
      </c>
      <c r="J26" s="31">
        <f>(14.007*2)+(1.008*4)</f>
        <v>32.045999999999999</v>
      </c>
    </row>
    <row r="27" spans="1:10">
      <c r="A27" s="5" t="s">
        <v>44</v>
      </c>
      <c r="B27" s="10">
        <f>C27*1000</f>
        <v>0.70209999999999995</v>
      </c>
      <c r="C27" s="11">
        <v>7.0209999999999999E-4</v>
      </c>
      <c r="G27" s="30" t="s">
        <v>105</v>
      </c>
      <c r="H27" s="30" t="s">
        <v>156</v>
      </c>
      <c r="I27" s="30">
        <v>1</v>
      </c>
      <c r="J27" s="31">
        <v>2.02</v>
      </c>
    </row>
    <row r="28" spans="1:10">
      <c r="A28" s="2" t="s">
        <v>159</v>
      </c>
      <c r="B28" s="10">
        <f>C28*1000</f>
        <v>0.79</v>
      </c>
      <c r="C28" s="11">
        <v>7.9000000000000001E-4</v>
      </c>
      <c r="G28" s="30" t="s">
        <v>101</v>
      </c>
      <c r="H28" s="30" t="s">
        <v>157</v>
      </c>
      <c r="I28" s="30">
        <v>1</v>
      </c>
      <c r="J28" s="31">
        <v>170.34</v>
      </c>
    </row>
    <row r="29" spans="1:10">
      <c r="A29" s="2" t="s">
        <v>43</v>
      </c>
      <c r="B29" s="10">
        <f t="shared" ref="B29:B30" si="3">C29*1000</f>
        <v>1.1732500000000001</v>
      </c>
      <c r="C29" s="11">
        <v>1.17325E-3</v>
      </c>
      <c r="G29" s="30" t="s">
        <v>37</v>
      </c>
      <c r="H29" s="30" t="s">
        <v>158</v>
      </c>
      <c r="I29" s="30">
        <v>1</v>
      </c>
      <c r="J29" s="31">
        <v>6.94</v>
      </c>
    </row>
    <row r="30" spans="1:10">
      <c r="A30" s="2" t="s">
        <v>42</v>
      </c>
      <c r="B30" s="10">
        <f t="shared" si="3"/>
        <v>0.16239999999999999</v>
      </c>
      <c r="C30" s="11">
        <v>1.6239999999999999E-4</v>
      </c>
      <c r="G30" s="30" t="s">
        <v>44</v>
      </c>
      <c r="H30" s="30" t="s">
        <v>119</v>
      </c>
      <c r="I30" s="30">
        <v>1</v>
      </c>
      <c r="J30" s="31">
        <v>17.03</v>
      </c>
    </row>
    <row r="31" spans="1:10">
      <c r="A31" s="2" t="s">
        <v>224</v>
      </c>
      <c r="B31" s="10">
        <f t="shared" ref="B31" si="4">C31*1000</f>
        <v>1.5050000000000001</v>
      </c>
      <c r="C31" s="11">
        <v>1.505E-3</v>
      </c>
      <c r="G31" s="30" t="s">
        <v>159</v>
      </c>
      <c r="H31" s="30" t="s">
        <v>126</v>
      </c>
      <c r="I31" s="30">
        <v>1</v>
      </c>
      <c r="J31" s="31">
        <v>28.01</v>
      </c>
    </row>
    <row r="32" spans="1:10">
      <c r="A32" s="2" t="s">
        <v>45</v>
      </c>
      <c r="B32" s="10">
        <f t="shared" ref="B32:B42" si="5">C32*1000</f>
        <v>5.8999999999999997E-2</v>
      </c>
      <c r="C32" s="11">
        <v>5.8999999999999998E-5</v>
      </c>
      <c r="G32" s="30" t="s">
        <v>43</v>
      </c>
      <c r="H32" s="30" t="s">
        <v>124</v>
      </c>
      <c r="I32" s="30">
        <v>1</v>
      </c>
      <c r="J32" s="31">
        <v>44.01</v>
      </c>
    </row>
    <row r="33" spans="1:10">
      <c r="A33" s="2" t="s">
        <v>28</v>
      </c>
      <c r="B33" s="10">
        <f t="shared" si="5"/>
        <v>7.0849999999999996E-2</v>
      </c>
      <c r="C33" s="11">
        <v>7.0850000000000001E-5</v>
      </c>
      <c r="G33" s="30" t="s">
        <v>42</v>
      </c>
      <c r="H33" s="30" t="s">
        <v>132</v>
      </c>
      <c r="I33" s="30">
        <v>1</v>
      </c>
      <c r="J33" s="31">
        <v>2.0139999999999998</v>
      </c>
    </row>
    <row r="34" spans="1:10">
      <c r="A34" s="2" t="s">
        <v>29</v>
      </c>
      <c r="B34" s="10">
        <f t="shared" si="5"/>
        <v>0.42560999999999999</v>
      </c>
      <c r="C34" s="11">
        <v>4.2560999999999999E-4</v>
      </c>
      <c r="G34" s="30" t="s">
        <v>45</v>
      </c>
      <c r="H34" s="30" t="s">
        <v>147</v>
      </c>
      <c r="I34" s="30">
        <v>1</v>
      </c>
      <c r="J34" s="31">
        <v>3.016</v>
      </c>
    </row>
    <row r="35" spans="1:10">
      <c r="A35" s="2" t="s">
        <v>83</v>
      </c>
      <c r="B35" s="10">
        <f t="shared" si="5"/>
        <v>1.141</v>
      </c>
      <c r="C35" s="11">
        <v>1.1410000000000001E-3</v>
      </c>
      <c r="G35" s="30" t="s">
        <v>160</v>
      </c>
      <c r="H35" s="30" t="s">
        <v>149</v>
      </c>
      <c r="I35" s="30">
        <v>1</v>
      </c>
      <c r="J35" s="31">
        <v>4.0019999999999998</v>
      </c>
    </row>
    <row r="36" spans="1:10">
      <c r="A36" s="2" t="s">
        <v>104</v>
      </c>
      <c r="B36" s="10">
        <f t="shared" si="5"/>
        <v>0.82490700000000006</v>
      </c>
      <c r="C36" s="11">
        <v>8.2490700000000005E-4</v>
      </c>
      <c r="G36" s="30" t="s">
        <v>28</v>
      </c>
      <c r="H36" s="30" t="s">
        <v>156</v>
      </c>
      <c r="I36" s="30">
        <v>1</v>
      </c>
      <c r="J36" s="31">
        <v>2.02</v>
      </c>
    </row>
    <row r="37" spans="1:10">
      <c r="A37" s="2" t="s">
        <v>41</v>
      </c>
      <c r="B37" s="10">
        <f t="shared" si="5"/>
        <v>7.8</v>
      </c>
      <c r="C37" s="11">
        <v>7.7999999999999996E-3</v>
      </c>
      <c r="G37" s="30" t="s">
        <v>29</v>
      </c>
      <c r="H37" s="30" t="s">
        <v>161</v>
      </c>
      <c r="I37" s="30">
        <v>1</v>
      </c>
      <c r="J37" s="31">
        <v>16.05</v>
      </c>
    </row>
    <row r="38" spans="1:10">
      <c r="A38" s="2" t="s">
        <v>77</v>
      </c>
      <c r="B38" s="10">
        <f t="shared" si="5"/>
        <v>7.085</v>
      </c>
      <c r="C38" s="11">
        <v>7.0850000000000002E-3</v>
      </c>
      <c r="G38" s="30" t="s">
        <v>83</v>
      </c>
      <c r="H38" s="32" t="s">
        <v>162</v>
      </c>
      <c r="I38" s="32">
        <v>1</v>
      </c>
      <c r="J38" s="31">
        <v>32</v>
      </c>
    </row>
    <row r="39" spans="1:10">
      <c r="A39" s="2" t="s">
        <v>80</v>
      </c>
      <c r="B39" s="10">
        <f t="shared" si="5"/>
        <v>0.88</v>
      </c>
      <c r="C39" s="11">
        <v>8.8000000000000003E-4</v>
      </c>
      <c r="G39" s="30" t="s">
        <v>104</v>
      </c>
      <c r="H39" s="30" t="s">
        <v>163</v>
      </c>
      <c r="I39" s="30">
        <v>1</v>
      </c>
      <c r="J39" s="31">
        <v>28.01</v>
      </c>
    </row>
    <row r="40" spans="1:10">
      <c r="A40" s="2" t="s">
        <v>81</v>
      </c>
      <c r="B40" s="10">
        <f t="shared" si="5"/>
        <v>1.45</v>
      </c>
      <c r="C40" s="11">
        <v>1.4499999999999999E-3</v>
      </c>
      <c r="G40" s="30" t="s">
        <v>77</v>
      </c>
      <c r="H40" s="30" t="s">
        <v>156</v>
      </c>
      <c r="I40" s="30">
        <v>1</v>
      </c>
      <c r="J40" s="31">
        <f>J36</f>
        <v>2.02</v>
      </c>
    </row>
    <row r="41" spans="1:10">
      <c r="A41" s="5" t="s">
        <v>78</v>
      </c>
      <c r="B41" s="10">
        <f t="shared" si="5"/>
        <v>1.05</v>
      </c>
      <c r="C41" s="11">
        <v>1.0499999999999999E-3</v>
      </c>
      <c r="G41" s="30" t="s">
        <v>164</v>
      </c>
      <c r="H41" s="30" t="s">
        <v>165</v>
      </c>
      <c r="I41" s="30">
        <v>1</v>
      </c>
      <c r="J41" s="31">
        <v>159.69</v>
      </c>
    </row>
    <row r="42" spans="1:10">
      <c r="A42" s="2" t="s">
        <v>226</v>
      </c>
      <c r="B42" s="10">
        <f t="shared" si="5"/>
        <v>3.3103319999999998</v>
      </c>
      <c r="C42" s="11">
        <v>3.310332E-3</v>
      </c>
      <c r="G42" s="30" t="s">
        <v>166</v>
      </c>
      <c r="H42" s="30" t="s">
        <v>167</v>
      </c>
      <c r="I42" s="30">
        <v>1</v>
      </c>
      <c r="J42" s="31">
        <f>55.845*2</f>
        <v>111.69</v>
      </c>
    </row>
    <row r="43" spans="1:10">
      <c r="A43" s="5" t="s">
        <v>84</v>
      </c>
      <c r="B43" s="10">
        <f>C43*1000</f>
        <v>0.79100000000000004</v>
      </c>
      <c r="C43" s="11">
        <v>7.9100000000000004E-4</v>
      </c>
      <c r="G43" s="30" t="s">
        <v>41</v>
      </c>
      <c r="H43" s="30" t="s">
        <v>167</v>
      </c>
      <c r="I43" s="30">
        <v>1</v>
      </c>
      <c r="J43" s="31">
        <f>55.845*2</f>
        <v>111.69</v>
      </c>
    </row>
    <row r="44" spans="1:10">
      <c r="A44" s="5" t="s">
        <v>85</v>
      </c>
      <c r="B44" s="10">
        <f>C44*1000</f>
        <v>0.82899999999999996</v>
      </c>
      <c r="C44" s="11">
        <v>8.2899999999999998E-4</v>
      </c>
      <c r="G44" s="30" t="s">
        <v>168</v>
      </c>
      <c r="H44" s="30" t="s">
        <v>161</v>
      </c>
      <c r="I44" s="30">
        <v>1</v>
      </c>
      <c r="J44" s="31">
        <f>12.02+4*1.008</f>
        <v>16.052</v>
      </c>
    </row>
    <row r="45" spans="1:10">
      <c r="A45" s="2" t="s">
        <v>75</v>
      </c>
      <c r="B45" s="10">
        <f>C45*1000</f>
        <v>1</v>
      </c>
      <c r="C45" s="11">
        <v>1E-3</v>
      </c>
      <c r="G45" s="30" t="s">
        <v>169</v>
      </c>
      <c r="H45" s="30" t="s">
        <v>170</v>
      </c>
      <c r="I45" s="30">
        <v>1</v>
      </c>
      <c r="J45" s="31">
        <f>(28.086*2)+(16*2)</f>
        <v>88.171999999999997</v>
      </c>
    </row>
    <row r="46" spans="1:10" ht="18.75">
      <c r="G46" s="30" t="s">
        <v>80</v>
      </c>
      <c r="H46" s="30" t="s">
        <v>171</v>
      </c>
      <c r="I46" s="30">
        <v>1</v>
      </c>
      <c r="J46" s="31">
        <v>46.07</v>
      </c>
    </row>
    <row r="47" spans="1:10" ht="18" thickBot="1">
      <c r="A47" s="6" t="s">
        <v>60</v>
      </c>
      <c r="B47"/>
      <c r="C47" s="12"/>
      <c r="G47" s="30" t="s">
        <v>172</v>
      </c>
      <c r="H47" s="30" t="s">
        <v>173</v>
      </c>
      <c r="I47" s="30">
        <v>1</v>
      </c>
      <c r="J47" s="31">
        <v>233.88</v>
      </c>
    </row>
    <row r="48" spans="1:10" ht="16.5" thickTop="1">
      <c r="A48" s="2" t="s">
        <v>48</v>
      </c>
      <c r="B48" s="10">
        <f t="shared" ref="B48:B52" si="6">C48*1000</f>
        <v>5</v>
      </c>
      <c r="C48" s="11">
        <v>5.0000000000000001E-3</v>
      </c>
      <c r="G48" s="30" t="s">
        <v>174</v>
      </c>
      <c r="H48" s="30" t="s">
        <v>163</v>
      </c>
      <c r="I48" s="30">
        <v>1</v>
      </c>
      <c r="J48" s="31">
        <f>14.007*2</f>
        <v>28.013999999999999</v>
      </c>
    </row>
    <row r="49" spans="1:10">
      <c r="A49" s="2" t="s">
        <v>55</v>
      </c>
      <c r="B49" s="10">
        <f t="shared" si="6"/>
        <v>54.4</v>
      </c>
      <c r="C49" s="11">
        <v>5.4399999999999997E-2</v>
      </c>
      <c r="G49" s="30" t="s">
        <v>81</v>
      </c>
      <c r="H49" s="30" t="s">
        <v>175</v>
      </c>
      <c r="I49" s="30">
        <v>1</v>
      </c>
      <c r="J49" s="31">
        <v>92.04</v>
      </c>
    </row>
    <row r="50" spans="1:10">
      <c r="A50" s="2" t="s">
        <v>49</v>
      </c>
      <c r="B50" s="10">
        <f t="shared" si="6"/>
        <v>5</v>
      </c>
      <c r="C50" s="11">
        <v>5.0000000000000001E-3</v>
      </c>
      <c r="G50" s="30" t="s">
        <v>176</v>
      </c>
      <c r="H50" s="30" t="s">
        <v>162</v>
      </c>
      <c r="I50" s="30">
        <v>1</v>
      </c>
      <c r="J50" s="31">
        <v>32</v>
      </c>
    </row>
    <row r="51" spans="1:10">
      <c r="A51" s="2" t="s">
        <v>58</v>
      </c>
      <c r="B51" s="10">
        <f t="shared" si="6"/>
        <v>6.0000000000000005E-2</v>
      </c>
      <c r="C51" s="11">
        <v>6.0000000000000002E-5</v>
      </c>
      <c r="G51" s="30" t="s">
        <v>177</v>
      </c>
      <c r="H51" s="30" t="s">
        <v>109</v>
      </c>
      <c r="I51" s="30">
        <v>1</v>
      </c>
      <c r="J51" s="31">
        <v>30.97</v>
      </c>
    </row>
    <row r="52" spans="1:10">
      <c r="A52" s="2" t="s">
        <v>53</v>
      </c>
      <c r="B52" s="10">
        <f t="shared" si="6"/>
        <v>5.0108799999999993</v>
      </c>
      <c r="C52" s="11">
        <v>5.0108799999999997E-3</v>
      </c>
      <c r="G52" s="30" t="s">
        <v>178</v>
      </c>
      <c r="H52" s="30" t="s">
        <v>179</v>
      </c>
      <c r="I52" s="30">
        <v>1</v>
      </c>
      <c r="J52" s="31">
        <f>195.078</f>
        <v>195.078</v>
      </c>
    </row>
    <row r="53" spans="1:10">
      <c r="A53" s="2" t="s">
        <v>227</v>
      </c>
      <c r="B53" s="10">
        <f t="shared" ref="B53" si="7">C53*1000</f>
        <v>4.3499999999999996</v>
      </c>
      <c r="C53" s="11">
        <v>4.3499999999999997E-3</v>
      </c>
      <c r="G53" s="30" t="s">
        <v>180</v>
      </c>
      <c r="H53" s="30" t="s">
        <v>221</v>
      </c>
      <c r="I53" s="30">
        <v>1</v>
      </c>
      <c r="J53" s="31">
        <v>76.08</v>
      </c>
    </row>
    <row r="54" spans="1:10">
      <c r="A54" s="2" t="s">
        <v>228</v>
      </c>
      <c r="B54" s="10">
        <f t="shared" ref="B54" si="8">C54*1000</f>
        <v>6.24</v>
      </c>
      <c r="C54" s="11">
        <v>6.2399999999999999E-3</v>
      </c>
      <c r="G54" s="30" t="s">
        <v>181</v>
      </c>
      <c r="H54" s="30" t="s">
        <v>182</v>
      </c>
      <c r="I54" s="30">
        <v>1</v>
      </c>
      <c r="J54" s="31">
        <v>28.09</v>
      </c>
    </row>
    <row r="55" spans="1:10">
      <c r="A55" s="2" t="s">
        <v>56</v>
      </c>
      <c r="B55" s="10">
        <f t="shared" ref="B55:B63" si="9">C55*1000</f>
        <v>5</v>
      </c>
      <c r="C55" s="11">
        <v>5.0000000000000001E-3</v>
      </c>
      <c r="G55" s="30" t="s">
        <v>183</v>
      </c>
      <c r="H55" s="30" t="s">
        <v>184</v>
      </c>
      <c r="I55" s="30">
        <v>1</v>
      </c>
      <c r="J55" s="31">
        <v>186.09</v>
      </c>
    </row>
    <row r="56" spans="1:10">
      <c r="A56" s="2" t="s">
        <v>50</v>
      </c>
      <c r="B56" s="10">
        <f t="shared" si="9"/>
        <v>8.6</v>
      </c>
      <c r="C56" s="11">
        <v>8.6E-3</v>
      </c>
      <c r="G56" s="30" t="s">
        <v>185</v>
      </c>
      <c r="H56" s="30" t="s">
        <v>186</v>
      </c>
      <c r="I56" s="30">
        <v>1</v>
      </c>
      <c r="J56" s="31">
        <v>270.02999999999997</v>
      </c>
    </row>
    <row r="57" spans="1:10">
      <c r="A57" s="2" t="s">
        <v>54</v>
      </c>
      <c r="B57" s="10">
        <f t="shared" si="9"/>
        <v>5.7050000000000001</v>
      </c>
      <c r="C57" s="11">
        <v>5.705E-3</v>
      </c>
      <c r="G57" s="30" t="s">
        <v>84</v>
      </c>
      <c r="H57" s="30" t="s">
        <v>187</v>
      </c>
      <c r="I57" s="30">
        <v>1</v>
      </c>
      <c r="J57" s="31">
        <v>60.1</v>
      </c>
    </row>
    <row r="58" spans="1:10">
      <c r="A58" s="2" t="s">
        <v>51</v>
      </c>
      <c r="B58" s="10">
        <f t="shared" si="9"/>
        <v>0.35399999999999998</v>
      </c>
      <c r="C58" s="11">
        <v>3.5399999999999999E-4</v>
      </c>
      <c r="G58" s="30" t="s">
        <v>85</v>
      </c>
      <c r="H58" s="30" t="s">
        <v>188</v>
      </c>
      <c r="I58" s="30">
        <v>1</v>
      </c>
      <c r="J58" s="31">
        <f>SUM(($D$38*0.25)+($D$82*0.75))</f>
        <v>0</v>
      </c>
    </row>
    <row r="59" spans="1:10">
      <c r="A59" s="2" t="s">
        <v>52</v>
      </c>
      <c r="B59" s="10">
        <f t="shared" si="9"/>
        <v>2.12805</v>
      </c>
      <c r="C59" s="11">
        <v>2.1280499999999998E-3</v>
      </c>
      <c r="G59" s="30" t="s">
        <v>75</v>
      </c>
      <c r="H59" s="30" t="s">
        <v>189</v>
      </c>
      <c r="I59" s="30">
        <v>1</v>
      </c>
      <c r="J59" s="31">
        <v>18.02</v>
      </c>
    </row>
    <row r="60" spans="1:10">
      <c r="A60" s="2" t="s">
        <v>57</v>
      </c>
      <c r="B60" s="10">
        <f t="shared" si="9"/>
        <v>4.1000000000000005</v>
      </c>
      <c r="C60" s="11">
        <v>4.1000000000000003E-3</v>
      </c>
    </row>
    <row r="61" spans="1:10">
      <c r="A61" s="2" t="s">
        <v>72</v>
      </c>
      <c r="B61" s="10">
        <f t="shared" si="9"/>
        <v>12.5</v>
      </c>
      <c r="C61" s="11">
        <v>1.2500000000000001E-2</v>
      </c>
    </row>
    <row r="62" spans="1:10">
      <c r="A62" s="2" t="s">
        <v>67</v>
      </c>
      <c r="B62" s="10">
        <f t="shared" si="9"/>
        <v>7.5</v>
      </c>
      <c r="C62" s="11">
        <v>7.4999999999999997E-3</v>
      </c>
    </row>
    <row r="63" spans="1:10">
      <c r="A63" s="5" t="s">
        <v>76</v>
      </c>
      <c r="B63" s="10">
        <f t="shared" si="9"/>
        <v>5</v>
      </c>
      <c r="C63" s="11">
        <v>5.0000000000000001E-3</v>
      </c>
    </row>
    <row r="78" spans="7:10">
      <c r="G78" s="30"/>
      <c r="H78" s="30"/>
      <c r="I78" s="30"/>
      <c r="J78" s="31"/>
    </row>
  </sheetData>
  <dataValidations disablePrompts="1" count="1">
    <dataValidation type="list" allowBlank="1" showInputMessage="1" showErrorMessage="1" sqref="E2">
      <formula1>$A$11:$A$45</formula1>
    </dataValidation>
  </dataValidations>
  <pageMargins left="1" right="1" top="1.6666666666666667" bottom="1.6666666666666667" header="1" footer="1"/>
  <pageSetup firstPageNumber="4294967295" fitToWidth="0" fitToHeight="0" orientation="portrait" cellComments="asDisplayed" copies="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"/>
  <sheetViews>
    <sheetView workbookViewId="0">
      <selection activeCell="D15" sqref="D15"/>
    </sheetView>
  </sheetViews>
  <sheetFormatPr defaultRowHeight="15.75"/>
  <cols>
    <col min="1" max="1" width="12.42578125" style="2" customWidth="1"/>
    <col min="2" max="2" width="13.85546875" style="2" customWidth="1"/>
    <col min="3" max="3" width="11.5703125" style="2" customWidth="1"/>
    <col min="4" max="4" width="13.7109375" style="2" customWidth="1"/>
    <col min="5" max="5" width="13.5703125" style="2" customWidth="1"/>
    <col min="6" max="6" width="14.5703125" style="2" customWidth="1"/>
    <col min="7" max="7" width="12.42578125" style="2" bestFit="1" customWidth="1"/>
    <col min="8" max="256" width="9.140625" style="2"/>
    <col min="257" max="16384" width="9.140625" style="5"/>
  </cols>
  <sheetData>
    <row r="1" spans="1:8">
      <c r="A1" s="79" t="s">
        <v>61</v>
      </c>
      <c r="B1" s="79"/>
      <c r="C1" s="79"/>
      <c r="D1" s="79"/>
      <c r="E1" s="79"/>
      <c r="F1" s="79"/>
      <c r="G1" s="79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>
      <c r="A3" s="2" t="s">
        <v>7</v>
      </c>
      <c r="B3" s="2">
        <v>16</v>
      </c>
      <c r="C3" s="2">
        <v>290</v>
      </c>
      <c r="D3" s="3">
        <f t="shared" ref="D3:D16" si="0">C3*9.8066</f>
        <v>2843.9139999999998</v>
      </c>
      <c r="E3" s="3">
        <f t="shared" ref="E3:E16" si="1">B3*1000/D3</f>
        <v>5.6260491702632365</v>
      </c>
      <c r="F3" s="4">
        <f t="shared" ref="F3:F16" si="2">B3*1000*D3/2</f>
        <v>22751311.999999996</v>
      </c>
      <c r="G3" s="4">
        <f t="shared" ref="G3:G16" si="3">F3/E3</f>
        <v>4043923.419697999</v>
      </c>
    </row>
    <row r="4" spans="1:8">
      <c r="A4" s="2" t="s">
        <v>8</v>
      </c>
      <c r="B4" s="2">
        <v>20</v>
      </c>
      <c r="C4" s="2">
        <v>320</v>
      </c>
      <c r="D4" s="3">
        <f t="shared" si="0"/>
        <v>3138.1120000000001</v>
      </c>
      <c r="E4" s="3">
        <f t="shared" si="1"/>
        <v>6.3732588256888221</v>
      </c>
      <c r="F4" s="4">
        <f t="shared" si="2"/>
        <v>31381120</v>
      </c>
      <c r="G4" s="4">
        <f t="shared" si="3"/>
        <v>4923873.4622719996</v>
      </c>
    </row>
    <row r="5" spans="1:8">
      <c r="A5" s="2" t="s">
        <v>9</v>
      </c>
      <c r="B5" s="2">
        <v>180</v>
      </c>
      <c r="C5" s="2">
        <v>340</v>
      </c>
      <c r="D5" s="3">
        <f t="shared" si="0"/>
        <v>3334.2439999999997</v>
      </c>
      <c r="E5" s="3">
        <f t="shared" si="1"/>
        <v>53.985251229364145</v>
      </c>
      <c r="F5" s="4">
        <f t="shared" si="2"/>
        <v>300081960</v>
      </c>
      <c r="G5" s="4">
        <f t="shared" si="3"/>
        <v>5558591.5257679988</v>
      </c>
    </row>
    <row r="6" spans="1:8">
      <c r="A6" s="2" t="s">
        <v>10</v>
      </c>
      <c r="B6" s="2">
        <v>2</v>
      </c>
      <c r="C6" s="2">
        <v>315</v>
      </c>
      <c r="D6" s="3">
        <f t="shared" si="0"/>
        <v>3089.0789999999997</v>
      </c>
      <c r="E6" s="3">
        <f t="shared" si="1"/>
        <v>0.64744216641918195</v>
      </c>
      <c r="F6" s="4">
        <f t="shared" si="2"/>
        <v>3089078.9999999995</v>
      </c>
      <c r="G6" s="4">
        <f t="shared" si="3"/>
        <v>4771204.5341204992</v>
      </c>
    </row>
    <row r="7" spans="1:8">
      <c r="A7" s="2" t="s">
        <v>11</v>
      </c>
      <c r="B7" s="2">
        <v>2</v>
      </c>
      <c r="C7" s="2">
        <v>290</v>
      </c>
      <c r="D7" s="3">
        <f t="shared" si="0"/>
        <v>2843.9139999999998</v>
      </c>
      <c r="E7" s="3">
        <f t="shared" si="1"/>
        <v>0.70325614628290456</v>
      </c>
      <c r="F7" s="4">
        <f t="shared" si="2"/>
        <v>2843913.9999999995</v>
      </c>
      <c r="G7" s="4">
        <f t="shared" si="3"/>
        <v>4043923.419697999</v>
      </c>
    </row>
    <row r="8" spans="1:8">
      <c r="A8" s="2" t="s">
        <v>12</v>
      </c>
      <c r="B8" s="2">
        <v>60</v>
      </c>
      <c r="C8" s="2">
        <v>345</v>
      </c>
      <c r="D8" s="3">
        <f t="shared" si="0"/>
        <v>3383.277</v>
      </c>
      <c r="E8" s="3">
        <f t="shared" si="1"/>
        <v>17.734285428003677</v>
      </c>
      <c r="F8" s="4">
        <f t="shared" si="2"/>
        <v>101498310</v>
      </c>
      <c r="G8" s="4">
        <f t="shared" si="3"/>
        <v>5723281.6293645008</v>
      </c>
    </row>
    <row r="9" spans="1:8">
      <c r="A9" s="2" t="s">
        <v>13</v>
      </c>
      <c r="B9" s="2">
        <v>60</v>
      </c>
      <c r="C9" s="2">
        <v>800</v>
      </c>
      <c r="D9" s="3">
        <f t="shared" si="0"/>
        <v>7845.28</v>
      </c>
      <c r="E9" s="3">
        <f t="shared" si="1"/>
        <v>7.6479105908265863</v>
      </c>
      <c r="F9" s="4">
        <f t="shared" si="2"/>
        <v>235358400</v>
      </c>
      <c r="G9" s="4">
        <f t="shared" si="3"/>
        <v>30774209.139199998</v>
      </c>
      <c r="H9" s="2" t="s">
        <v>14</v>
      </c>
    </row>
    <row r="10" spans="1:8">
      <c r="A10" s="2" t="s">
        <v>15</v>
      </c>
      <c r="B10" s="2">
        <v>240</v>
      </c>
      <c r="C10" s="2">
        <v>310</v>
      </c>
      <c r="D10" s="3">
        <f t="shared" si="0"/>
        <v>3040.0459999999998</v>
      </c>
      <c r="E10" s="3">
        <f t="shared" si="1"/>
        <v>78.946173840790578</v>
      </c>
      <c r="F10" s="4">
        <f t="shared" si="2"/>
        <v>364805520</v>
      </c>
      <c r="G10" s="4">
        <f t="shared" si="3"/>
        <v>4620939.8410579991</v>
      </c>
    </row>
    <row r="11" spans="1:8">
      <c r="A11" s="2" t="s">
        <v>16</v>
      </c>
      <c r="B11" s="2">
        <v>215</v>
      </c>
      <c r="C11" s="2">
        <v>320</v>
      </c>
      <c r="D11" s="3">
        <f t="shared" si="0"/>
        <v>3138.1120000000001</v>
      </c>
      <c r="E11" s="3">
        <f t="shared" si="1"/>
        <v>68.512532376154837</v>
      </c>
      <c r="F11" s="4">
        <f t="shared" si="2"/>
        <v>337347040</v>
      </c>
      <c r="G11" s="4">
        <f t="shared" si="3"/>
        <v>4923873.4622719996</v>
      </c>
    </row>
    <row r="12" spans="1:8">
      <c r="A12" s="2" t="s">
        <v>17</v>
      </c>
      <c r="B12" s="2">
        <v>1500</v>
      </c>
      <c r="C12" s="2">
        <v>310</v>
      </c>
      <c r="D12" s="3">
        <f t="shared" si="0"/>
        <v>3040.0459999999998</v>
      </c>
      <c r="E12" s="3">
        <f t="shared" si="1"/>
        <v>493.41358650494107</v>
      </c>
      <c r="F12" s="4">
        <f t="shared" si="2"/>
        <v>2280034500</v>
      </c>
      <c r="G12" s="4">
        <f t="shared" si="3"/>
        <v>4620939.841058</v>
      </c>
    </row>
    <row r="13" spans="1:8">
      <c r="A13" s="2" t="s">
        <v>18</v>
      </c>
      <c r="B13" s="2">
        <v>120</v>
      </c>
      <c r="C13" s="2">
        <v>305</v>
      </c>
      <c r="D13" s="3">
        <f t="shared" si="0"/>
        <v>2991.0129999999999</v>
      </c>
      <c r="E13" s="3">
        <f t="shared" si="1"/>
        <v>40.120186705975534</v>
      </c>
      <c r="F13" s="4">
        <f t="shared" si="2"/>
        <v>179460780</v>
      </c>
      <c r="G13" s="4">
        <f t="shared" si="3"/>
        <v>4473079.3830845002</v>
      </c>
    </row>
    <row r="14" spans="1:8">
      <c r="A14" s="2" t="s">
        <v>19</v>
      </c>
      <c r="B14" s="2">
        <v>250</v>
      </c>
      <c r="C14" s="2">
        <v>350</v>
      </c>
      <c r="D14" s="3">
        <f t="shared" si="0"/>
        <v>3432.31</v>
      </c>
      <c r="E14" s="3">
        <f t="shared" si="1"/>
        <v>72.837243722157964</v>
      </c>
      <c r="F14" s="4">
        <f t="shared" si="2"/>
        <v>429038750</v>
      </c>
      <c r="G14" s="4">
        <f t="shared" si="3"/>
        <v>5890375.9680500003</v>
      </c>
    </row>
    <row r="15" spans="1:8">
      <c r="A15" s="2" t="s">
        <v>20</v>
      </c>
      <c r="B15" s="2">
        <v>1000</v>
      </c>
      <c r="C15" s="2">
        <v>315</v>
      </c>
      <c r="D15" s="3">
        <f t="shared" si="0"/>
        <v>3089.0789999999997</v>
      </c>
      <c r="E15" s="3">
        <f t="shared" si="1"/>
        <v>323.72108320959097</v>
      </c>
      <c r="F15" s="4">
        <f t="shared" si="2"/>
        <v>1544539499.9999998</v>
      </c>
      <c r="G15" s="4">
        <f t="shared" si="3"/>
        <v>4771204.5341204992</v>
      </c>
    </row>
    <row r="16" spans="1:8">
      <c r="A16" s="2" t="s">
        <v>21</v>
      </c>
      <c r="B16" s="2">
        <v>650</v>
      </c>
      <c r="C16" s="2">
        <v>320</v>
      </c>
      <c r="D16" s="3">
        <f t="shared" si="0"/>
        <v>3138.1120000000001</v>
      </c>
      <c r="E16" s="3">
        <f t="shared" si="1"/>
        <v>207.13091183488672</v>
      </c>
      <c r="F16" s="4">
        <f t="shared" si="2"/>
        <v>1019886400</v>
      </c>
      <c r="G16" s="4">
        <f t="shared" si="3"/>
        <v>4923873.4622719996</v>
      </c>
    </row>
  </sheetData>
  <mergeCells count="1">
    <mergeCell ref="A1:G1"/>
  </mergeCells>
  <pageMargins left="1" right="1" top="1.6666666666666667" bottom="1.6666666666666667" header="1" footer="1"/>
  <pageSetup firstPageNumber="4294967295" fitToWidth="0" fitToHeight="0" orientation="portrait" cellComments="asDisplayed" r:id="rId1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6"/>
  <sheetViews>
    <sheetView zoomScaleNormal="100" workbookViewId="0">
      <selection activeCell="G10" sqref="G10"/>
    </sheetView>
  </sheetViews>
  <sheetFormatPr defaultRowHeight="15.75"/>
  <cols>
    <col min="1" max="1" width="22" style="5" customWidth="1"/>
    <col min="2" max="3" width="20" style="5" customWidth="1"/>
    <col min="4" max="4" width="21.85546875" style="5" customWidth="1"/>
    <col min="5" max="5" width="20" style="5" customWidth="1"/>
    <col min="6" max="6" width="9.140625" style="5" customWidth="1"/>
    <col min="7" max="7" width="19.5703125" style="5" customWidth="1"/>
    <col min="8" max="10" width="9.140625" style="5" customWidth="1"/>
    <col min="11" max="16384" width="9.140625" style="5"/>
  </cols>
  <sheetData>
    <row r="1" spans="1:10" ht="20.25" thickBot="1">
      <c r="A1" s="80" t="s">
        <v>202</v>
      </c>
      <c r="B1" s="80"/>
      <c r="C1" s="80"/>
      <c r="D1" s="80"/>
      <c r="E1" s="80"/>
    </row>
    <row r="2" spans="1:10" ht="18.75" thickTop="1" thickBot="1">
      <c r="A2" s="47" t="s">
        <v>96</v>
      </c>
    </row>
    <row r="3" spans="1:10" ht="16.5" thickTop="1">
      <c r="B3" s="2" t="s">
        <v>212</v>
      </c>
      <c r="C3" s="2" t="s">
        <v>94</v>
      </c>
      <c r="G3" s="5" t="s">
        <v>91</v>
      </c>
    </row>
    <row r="4" spans="1:10">
      <c r="A4"/>
      <c r="B4" s="21">
        <v>203946</v>
      </c>
      <c r="C4" s="24">
        <v>2300</v>
      </c>
      <c r="G4" s="49">
        <v>299792458</v>
      </c>
    </row>
    <row r="5" spans="1:10">
      <c r="A5"/>
      <c r="B5" s="2" t="s">
        <v>3</v>
      </c>
      <c r="C5" s="2" t="s">
        <v>22</v>
      </c>
      <c r="D5" s="5" t="s">
        <v>32</v>
      </c>
      <c r="E5" s="5" t="s">
        <v>33</v>
      </c>
    </row>
    <row r="6" spans="1:10">
      <c r="A6" s="2"/>
      <c r="B6" s="18">
        <f>B4*G7</f>
        <v>2000027.0408999999</v>
      </c>
      <c r="C6" s="59">
        <f>IFERROR(C4*1000/B6,0)</f>
        <v>1.1499844516927202</v>
      </c>
      <c r="D6" s="18">
        <f>C4*1000*B6</f>
        <v>4600062194070</v>
      </c>
      <c r="E6" s="18">
        <f>IFERROR(D6/C6,0)</f>
        <v>4000108164331.21</v>
      </c>
      <c r="G6" s="5" t="s">
        <v>205</v>
      </c>
    </row>
    <row r="7" spans="1:10">
      <c r="B7" s="5" t="s">
        <v>200</v>
      </c>
      <c r="G7" s="48">
        <v>9.8066499999999994</v>
      </c>
      <c r="J7"/>
    </row>
    <row r="8" spans="1:10">
      <c r="B8" s="28">
        <f>B6/G4</f>
        <v>6.671372102696459E-3</v>
      </c>
      <c r="J8"/>
    </row>
    <row r="9" spans="1:10">
      <c r="J9"/>
    </row>
    <row r="10" spans="1:10" ht="18" thickBot="1">
      <c r="A10" s="47" t="s">
        <v>97</v>
      </c>
      <c r="J10"/>
    </row>
    <row r="11" spans="1:10" ht="16.5" thickTop="1">
      <c r="B11" s="2" t="s">
        <v>212</v>
      </c>
      <c r="C11" s="2" t="s">
        <v>94</v>
      </c>
    </row>
    <row r="12" spans="1:10">
      <c r="B12" s="22">
        <v>960</v>
      </c>
      <c r="C12" s="23">
        <f>(C14*B14)/1000</f>
        <v>0.29543542033151998</v>
      </c>
    </row>
    <row r="13" spans="1:10">
      <c r="B13" s="2" t="s">
        <v>3</v>
      </c>
      <c r="C13" s="2" t="s">
        <v>22</v>
      </c>
      <c r="D13" s="5" t="s">
        <v>32</v>
      </c>
      <c r="E13" s="5" t="s">
        <v>100</v>
      </c>
      <c r="G13"/>
    </row>
    <row r="14" spans="1:10">
      <c r="B14" s="18">
        <f>B12*G7</f>
        <v>9414.384</v>
      </c>
      <c r="C14" s="59">
        <f>E14/D14</f>
        <v>3.1381279999999998E-2</v>
      </c>
      <c r="D14" s="22">
        <v>2824315200</v>
      </c>
      <c r="E14" s="18">
        <f>IFERROR((B14^2),0)</f>
        <v>88630626.099455997</v>
      </c>
      <c r="G14"/>
    </row>
    <row r="15" spans="1:10">
      <c r="A15"/>
      <c r="B15"/>
      <c r="C15"/>
      <c r="D15"/>
      <c r="E15"/>
      <c r="G15"/>
    </row>
    <row r="16" spans="1:10">
      <c r="B16" s="62" t="s">
        <v>95</v>
      </c>
      <c r="C16" s="62"/>
      <c r="G16"/>
    </row>
    <row r="17" spans="1:8">
      <c r="B17" s="5" t="s">
        <v>210</v>
      </c>
      <c r="C17" s="5" t="s">
        <v>98</v>
      </c>
      <c r="D17" s="5" t="s">
        <v>211</v>
      </c>
      <c r="G17"/>
    </row>
    <row r="18" spans="1:8">
      <c r="B18" s="20">
        <v>1</v>
      </c>
      <c r="C18" s="20">
        <v>0</v>
      </c>
      <c r="D18" s="19">
        <f>C12/(B18*G7)</f>
        <v>3.0126028799999999E-2</v>
      </c>
      <c r="G18"/>
      <c r="H18"/>
    </row>
    <row r="19" spans="1:8">
      <c r="G19"/>
      <c r="H19"/>
    </row>
    <row r="21" spans="1:8" ht="18" thickBot="1">
      <c r="A21" s="47" t="s">
        <v>92</v>
      </c>
    </row>
    <row r="22" spans="1:8" ht="16.5" thickTop="1">
      <c r="B22" s="5" t="s">
        <v>32</v>
      </c>
      <c r="C22" s="5" t="s">
        <v>206</v>
      </c>
      <c r="D22" s="5" t="s">
        <v>93</v>
      </c>
    </row>
    <row r="23" spans="1:8">
      <c r="B23" s="27">
        <v>1000000000</v>
      </c>
      <c r="C23" s="53">
        <f>(B23/G4/1000)</f>
        <v>3.3356409519815205E-3</v>
      </c>
      <c r="D23" s="50">
        <f>B23/1000</f>
        <v>1000000</v>
      </c>
    </row>
    <row r="26" spans="1:8" ht="18" thickBot="1">
      <c r="A26" s="47" t="s">
        <v>99</v>
      </c>
    </row>
    <row r="27" spans="1:8" ht="16.5" thickTop="1">
      <c r="B27" s="5" t="s">
        <v>212</v>
      </c>
      <c r="C27" s="2" t="s">
        <v>94</v>
      </c>
    </row>
    <row r="28" spans="1:8">
      <c r="B28" s="26">
        <f>B30/G7</f>
        <v>749335.32127174258</v>
      </c>
      <c r="C28" s="20">
        <v>3800</v>
      </c>
    </row>
    <row r="29" spans="1:8">
      <c r="B29" s="5" t="s">
        <v>3</v>
      </c>
      <c r="C29" s="5" t="s">
        <v>22</v>
      </c>
      <c r="D29" s="5" t="s">
        <v>32</v>
      </c>
      <c r="E29" s="5" t="s">
        <v>100</v>
      </c>
    </row>
    <row r="30" spans="1:8">
      <c r="B30" s="26">
        <f>(2*E30)^0.5</f>
        <v>7348469.2283495339</v>
      </c>
      <c r="C30" s="59">
        <f>IFERROR(C28*1000/B30,0)</f>
        <v>0.51711450125422653</v>
      </c>
      <c r="D30" s="26">
        <f>C28*1000*B30</f>
        <v>27924183067728.23</v>
      </c>
      <c r="E30" s="25">
        <v>27000000000000</v>
      </c>
    </row>
    <row r="31" spans="1:8">
      <c r="B31" s="5" t="s">
        <v>200</v>
      </c>
    </row>
    <row r="32" spans="1:8">
      <c r="B32" s="28">
        <f>B30/G4</f>
        <v>2.4511854892458749E-2</v>
      </c>
    </row>
    <row r="35" spans="1:9" ht="18" thickBot="1">
      <c r="A35" s="47" t="s">
        <v>113</v>
      </c>
    </row>
    <row r="36" spans="1:9" ht="16.5" thickTop="1">
      <c r="A36" s="55"/>
      <c r="G36"/>
    </row>
    <row r="37" spans="1:9">
      <c r="B37" s="37" t="s">
        <v>112</v>
      </c>
      <c r="C37" s="33">
        <v>2130</v>
      </c>
      <c r="D37" s="29"/>
      <c r="E37" s="29"/>
      <c r="F37"/>
      <c r="G37"/>
    </row>
    <row r="38" spans="1:9">
      <c r="B38" s="37" t="s">
        <v>106</v>
      </c>
      <c r="C38" s="34">
        <v>8.3144621000000001</v>
      </c>
      <c r="D38" s="29"/>
      <c r="E38" s="29"/>
      <c r="F38"/>
    </row>
    <row r="39" spans="1:9" ht="16.5" thickBot="1">
      <c r="B39" s="37" t="s">
        <v>111</v>
      </c>
      <c r="C39" s="13" t="s">
        <v>28</v>
      </c>
      <c r="D39" s="38">
        <f>IFERROR(VLOOKUP(C39,Database!$G$2:$J$59,4,FALSE),"-")</f>
        <v>2.02</v>
      </c>
      <c r="E39" s="39">
        <f>D39/1000</f>
        <v>2.0200000000000001E-3</v>
      </c>
      <c r="F39"/>
    </row>
    <row r="40" spans="1:9" ht="17.25" thickTop="1" thickBot="1">
      <c r="B40" s="37"/>
      <c r="C40" s="13" t="s">
        <v>75</v>
      </c>
      <c r="D40" s="38">
        <f>IFERROR(VLOOKUP(C40,Database!$G$2:$J$59,4,FALSE),"-")</f>
        <v>18.02</v>
      </c>
      <c r="E40" s="39">
        <f>D40/1000</f>
        <v>1.8020000000000001E-2</v>
      </c>
    </row>
    <row r="41" spans="1:9" ht="16.5" thickTop="1">
      <c r="B41" s="37" t="s">
        <v>203</v>
      </c>
      <c r="C41" s="14">
        <v>1.3979999999999999</v>
      </c>
      <c r="D41"/>
      <c r="E41" s="29"/>
    </row>
    <row r="42" spans="1:9" ht="16.5" thickBot="1">
      <c r="B42" s="37" t="s">
        <v>110</v>
      </c>
      <c r="C42" s="35">
        <v>0</v>
      </c>
      <c r="D42" s="54">
        <f>IFERROR(C42*101320,101.32)</f>
        <v>0</v>
      </c>
      <c r="E42" s="29"/>
    </row>
    <row r="43" spans="1:9" ht="17.25" thickTop="1" thickBot="1">
      <c r="B43" s="37" t="s">
        <v>109</v>
      </c>
      <c r="C43" s="35">
        <v>500</v>
      </c>
      <c r="D43" s="54">
        <f>C43*101320</f>
        <v>50660000</v>
      </c>
      <c r="E43" s="29"/>
    </row>
    <row r="44" spans="1:9" ht="16.5" thickTop="1">
      <c r="B44" s="37"/>
      <c r="C44" s="29"/>
      <c r="D44" s="29"/>
      <c r="E44" s="29"/>
    </row>
    <row r="45" spans="1:9">
      <c r="B45" s="37" t="s">
        <v>108</v>
      </c>
      <c r="C45" s="36">
        <f>(C37*C38)/E39</f>
        <v>8767229.8381188121</v>
      </c>
      <c r="D45" s="29"/>
      <c r="E45" s="36">
        <f>(C37*C38)/E40</f>
        <v>982786.03068812436</v>
      </c>
      <c r="H45" s="40"/>
      <c r="I45" s="40"/>
    </row>
    <row r="46" spans="1:9">
      <c r="B46" s="37" t="s">
        <v>204</v>
      </c>
      <c r="C46" s="36">
        <f>(2*C41)/(C41-1)</f>
        <v>7.0251256281407048</v>
      </c>
      <c r="D46" s="29"/>
      <c r="E46"/>
      <c r="H46" s="40"/>
      <c r="I46" s="40"/>
    </row>
    <row r="47" spans="1:9">
      <c r="B47" s="37" t="s">
        <v>208</v>
      </c>
      <c r="C47" s="36">
        <f>(C41-1)/C41</f>
        <v>0.284692417739628</v>
      </c>
      <c r="D47" s="29"/>
      <c r="E47"/>
    </row>
    <row r="48" spans="1:9" customFormat="1">
      <c r="A48" s="5"/>
      <c r="B48" s="37" t="s">
        <v>107</v>
      </c>
      <c r="C48" s="36">
        <f>1-((D42/D43)^C47)</f>
        <v>1</v>
      </c>
      <c r="D48" s="29"/>
      <c r="F48" s="5"/>
    </row>
    <row r="49" spans="1:7">
      <c r="A49"/>
      <c r="B49"/>
      <c r="C49"/>
      <c r="D49"/>
      <c r="E49"/>
      <c r="F49"/>
    </row>
    <row r="50" spans="1:7" ht="16.5" thickBot="1">
      <c r="B50" s="37"/>
      <c r="C50" s="17" t="str">
        <f>C39</f>
        <v>LqdHydrogen</v>
      </c>
      <c r="D50" s="29"/>
      <c r="E50" s="17" t="str">
        <f>C40</f>
        <v>Water (CRP)</v>
      </c>
      <c r="G50" s="41"/>
    </row>
    <row r="51" spans="1:7" ht="16.5" thickTop="1">
      <c r="B51" s="37" t="s">
        <v>3</v>
      </c>
      <c r="C51" s="51">
        <f>(C45*C46*C48)^0.5</f>
        <v>7847.9864311534302</v>
      </c>
      <c r="D51" s="29"/>
      <c r="E51" s="51">
        <f>(E45*C46*C48)^0.5</f>
        <v>2627.5835536031618</v>
      </c>
    </row>
    <row r="52" spans="1:7">
      <c r="B52" s="37" t="s">
        <v>193</v>
      </c>
      <c r="C52" s="51">
        <f>C51/9.80655</f>
        <v>800.28006089332439</v>
      </c>
      <c r="D52" s="29"/>
      <c r="E52" s="51">
        <f>E51/9.80655</f>
        <v>267.94168730115706</v>
      </c>
    </row>
    <row r="53" spans="1:7">
      <c r="E53" s="40"/>
      <c r="F53" s="40"/>
    </row>
    <row r="54" spans="1:7">
      <c r="E54" s="40"/>
    </row>
    <row r="55" spans="1:7" ht="18" thickBot="1">
      <c r="A55" s="47" t="s">
        <v>195</v>
      </c>
    </row>
    <row r="56" spans="1:7" ht="16.5" thickTop="1"/>
    <row r="57" spans="1:7">
      <c r="C57" s="5" t="s">
        <v>193</v>
      </c>
      <c r="D57" s="5" t="s">
        <v>206</v>
      </c>
      <c r="E57" s="5" t="s">
        <v>199</v>
      </c>
    </row>
    <row r="58" spans="1:7">
      <c r="D58" s="45">
        <v>60</v>
      </c>
      <c r="E58" s="56">
        <v>0.75</v>
      </c>
    </row>
    <row r="60" spans="1:7">
      <c r="B60" s="5" t="s">
        <v>209</v>
      </c>
      <c r="E60" s="5" t="s">
        <v>198</v>
      </c>
    </row>
    <row r="61" spans="1:7" ht="16.5" thickBot="1">
      <c r="B61" s="43" t="s">
        <v>194</v>
      </c>
      <c r="C61" s="58">
        <v>800</v>
      </c>
      <c r="D61" s="57">
        <f>D58</f>
        <v>60</v>
      </c>
      <c r="E61" s="46">
        <f t="shared" ref="E61:E67" si="0">($C$61/C61)^$E$58</f>
        <v>1</v>
      </c>
    </row>
    <row r="62" spans="1:7" ht="16.5" thickTop="1">
      <c r="B62" s="43" t="s">
        <v>161</v>
      </c>
      <c r="C62" s="58">
        <v>606</v>
      </c>
      <c r="D62" s="52">
        <f t="shared" ref="D62:D67" si="1">$D$58*(($C$61/C62)^$E$58)</f>
        <v>73.894867118770051</v>
      </c>
      <c r="E62" s="46">
        <f t="shared" si="0"/>
        <v>1.2315811186461676</v>
      </c>
    </row>
    <row r="63" spans="1:7">
      <c r="B63" s="43" t="s">
        <v>119</v>
      </c>
      <c r="C63" s="58">
        <v>400</v>
      </c>
      <c r="D63" s="52">
        <f t="shared" si="1"/>
        <v>100.90756983044574</v>
      </c>
      <c r="E63" s="46">
        <f t="shared" si="0"/>
        <v>1.681792830507429</v>
      </c>
    </row>
    <row r="64" spans="1:7">
      <c r="B64" s="43" t="s">
        <v>163</v>
      </c>
      <c r="C64" s="58">
        <v>253</v>
      </c>
      <c r="D64" s="52">
        <f t="shared" si="1"/>
        <v>142.27491989040757</v>
      </c>
      <c r="E64" s="46">
        <f t="shared" si="0"/>
        <v>2.3712486648401261</v>
      </c>
    </row>
    <row r="65" spans="2:5">
      <c r="B65" s="42" t="s">
        <v>189</v>
      </c>
      <c r="C65" s="58">
        <v>370</v>
      </c>
      <c r="D65" s="52">
        <f t="shared" si="1"/>
        <v>106.98365906113423</v>
      </c>
      <c r="E65" s="46">
        <f t="shared" si="0"/>
        <v>1.7830609843522371</v>
      </c>
    </row>
    <row r="66" spans="2:5">
      <c r="B66" s="42" t="s">
        <v>124</v>
      </c>
      <c r="C66" s="58">
        <v>283</v>
      </c>
      <c r="D66" s="52">
        <f t="shared" si="1"/>
        <v>130.80637609525397</v>
      </c>
      <c r="E66" s="46">
        <f t="shared" si="0"/>
        <v>2.1801062682542329</v>
      </c>
    </row>
    <row r="67" spans="2:5">
      <c r="B67" s="42" t="s">
        <v>126</v>
      </c>
      <c r="C67" s="58">
        <v>253</v>
      </c>
      <c r="D67" s="52">
        <f t="shared" si="1"/>
        <v>142.27491989040757</v>
      </c>
      <c r="E67" s="46">
        <f t="shared" si="0"/>
        <v>2.3712486648401261</v>
      </c>
    </row>
    <row r="68" spans="2:5">
      <c r="C68" s="58"/>
      <c r="D68" s="40"/>
      <c r="E68" s="44"/>
    </row>
    <row r="69" spans="2:5">
      <c r="B69" s="5" t="s">
        <v>88</v>
      </c>
      <c r="C69" s="58"/>
      <c r="D69" s="40"/>
      <c r="E69" s="44"/>
    </row>
    <row r="70" spans="2:5" ht="16.5" thickBot="1">
      <c r="B70" s="43" t="s">
        <v>51</v>
      </c>
      <c r="C70" s="58">
        <v>800</v>
      </c>
      <c r="D70" s="57">
        <f>D58</f>
        <v>60</v>
      </c>
      <c r="E70" s="46">
        <f>($C$61/C70)^$E$58</f>
        <v>1</v>
      </c>
    </row>
    <row r="71" spans="2:5" ht="16.5" thickTop="1">
      <c r="B71" s="43" t="s">
        <v>52</v>
      </c>
      <c r="C71" s="58">
        <v>606</v>
      </c>
      <c r="D71" s="52">
        <f>$D$58*(($C$70/C71)^$E$58)</f>
        <v>73.894867118770051</v>
      </c>
      <c r="E71" s="46">
        <f>($C$70/C71)^$E$58</f>
        <v>1.2315811186461676</v>
      </c>
    </row>
    <row r="72" spans="2:5">
      <c r="B72" s="43" t="s">
        <v>197</v>
      </c>
      <c r="C72" s="58">
        <v>253</v>
      </c>
      <c r="D72" s="52">
        <f>$D$58*(($C$70/C72)^$E$58)</f>
        <v>142.27491989040757</v>
      </c>
      <c r="E72" s="46">
        <f>($C$70/C72)^$E$58</f>
        <v>2.3712486648401261</v>
      </c>
    </row>
    <row r="73" spans="2:5">
      <c r="B73" s="42" t="s">
        <v>196</v>
      </c>
      <c r="C73" s="58">
        <v>370</v>
      </c>
      <c r="D73" s="52">
        <f>$D$58*(($C$70/C73)^$E$58)</f>
        <v>106.98365906113423</v>
      </c>
      <c r="E73" s="46">
        <f>($C$70/C73)^$E$58</f>
        <v>1.7830609843522371</v>
      </c>
    </row>
    <row r="74" spans="2:5">
      <c r="B74" s="42" t="s">
        <v>201</v>
      </c>
      <c r="C74" s="58">
        <v>283</v>
      </c>
      <c r="D74" s="52">
        <f>$D$58*(($C$70/C74)^$E$58)</f>
        <v>130.80637609525397</v>
      </c>
      <c r="E74" s="46">
        <f>($C$70/C74)^$E$58</f>
        <v>2.1801062682542329</v>
      </c>
    </row>
    <row r="75" spans="2:5">
      <c r="B75" s="42" t="s">
        <v>50</v>
      </c>
      <c r="C75" s="58">
        <v>253</v>
      </c>
      <c r="D75" s="52">
        <f>$D$58*(($C$70/C75)^$E$58)</f>
        <v>142.27491989040757</v>
      </c>
      <c r="E75" s="46">
        <f>($C$70/C75)^$E$58</f>
        <v>2.3712486648401261</v>
      </c>
    </row>
    <row r="81" spans="1:3" ht="18" thickBot="1">
      <c r="A81" s="47" t="s">
        <v>218</v>
      </c>
    </row>
    <row r="82" spans="1:3" ht="16.5" thickTop="1">
      <c r="B82" t="s">
        <v>214</v>
      </c>
      <c r="C82" s="60">
        <v>4000</v>
      </c>
    </row>
    <row r="83" spans="1:3">
      <c r="B83" t="s">
        <v>216</v>
      </c>
      <c r="C83" s="33">
        <v>1600</v>
      </c>
    </row>
    <row r="84" spans="1:3">
      <c r="B84" t="s">
        <v>215</v>
      </c>
      <c r="C84" s="33">
        <v>1000</v>
      </c>
    </row>
    <row r="85" spans="1:3">
      <c r="B85" t="s">
        <v>213</v>
      </c>
      <c r="C85" s="61">
        <f>C82*(1-(C84/C83))</f>
        <v>1500</v>
      </c>
    </row>
    <row r="86" spans="1:3">
      <c r="B86" t="s">
        <v>217</v>
      </c>
      <c r="C86" s="36">
        <f>C83/C84</f>
        <v>1.6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Database!$G$2:$G$59</xm:f>
          </x14:formula1>
          <xm:sqref>C39:C40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Engine Config Calc</vt:lpstr>
      <vt:lpstr>Database</vt:lpstr>
      <vt:lpstr>Samples</vt:lpstr>
      <vt:lpstr>Energy calcs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Jadon Wade</dc:creator>
  <cp:lastModifiedBy>Jade</cp:lastModifiedBy>
  <dcterms:created xsi:type="dcterms:W3CDTF">2017-11-07T05:21:15Z</dcterms:created>
  <dcterms:modified xsi:type="dcterms:W3CDTF">2026-08-30T02:51:52Z</dcterms:modified>
</cp:coreProperties>
</file>