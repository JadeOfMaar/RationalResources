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RationalResources\"/>
    </mc:Choice>
  </mc:AlternateContent>
  <bookViews>
    <workbookView xWindow="17670" yWindow="0" windowWidth="18375" windowHeight="8625"/>
  </bookViews>
  <sheets>
    <sheet name="Engine Config Calc" sheetId="2" r:id="rId1"/>
    <sheet name="Database" sheetId="3" r:id="rId2"/>
    <sheet name="Samples" sheetId="1" r:id="rId3"/>
    <sheet name="Energy calcs" sheetId="4" r:id="rId4"/>
  </sheets>
  <definedNames>
    <definedName name="_xlnm.Print_Area" localSheetId="1">#REF!</definedName>
    <definedName name="_xlnm.Print_Area" localSheetId="0">#REF!</definedName>
    <definedName name="_xlnm.Print_Area" localSheetId="2">#REF!</definedName>
    <definedName name="_xlnm.Sheet_Title" localSheetId="1">"Sheet3"</definedName>
    <definedName name="_xlnm.Sheet_Title" localSheetId="0">"Sheet2"</definedName>
    <definedName name="_xlnm.Sheet_Title" localSheetId="2">"Sheet1"</definedName>
  </definedNames>
  <calcPr calcId="152511"/>
</workbook>
</file>

<file path=xl/calcChain.xml><?xml version="1.0" encoding="utf-8"?>
<calcChain xmlns="http://schemas.openxmlformats.org/spreadsheetml/2006/main">
  <c r="D27" i="2" l="1"/>
  <c r="H32" i="2" s="1"/>
  <c r="AA20" i="2"/>
  <c r="AA21" i="2"/>
  <c r="AA22" i="2"/>
  <c r="AA23" i="2"/>
  <c r="AA24" i="2"/>
  <c r="X20" i="2"/>
  <c r="X21" i="2"/>
  <c r="X22" i="2"/>
  <c r="X23" i="2"/>
  <c r="X24" i="2"/>
  <c r="X19" i="2"/>
  <c r="AA19" i="2"/>
  <c r="S18" i="2" l="1"/>
  <c r="S19" i="2"/>
  <c r="S20" i="2"/>
  <c r="S21" i="2"/>
  <c r="S22" i="2"/>
  <c r="S23" i="2"/>
  <c r="S17" i="2"/>
  <c r="P18" i="2"/>
  <c r="P19" i="2"/>
  <c r="P20" i="2"/>
  <c r="P21" i="2"/>
  <c r="P22" i="2"/>
  <c r="P23" i="2"/>
  <c r="P17" i="2"/>
  <c r="O17" i="2"/>
  <c r="M18" i="2" s="1"/>
  <c r="M17" i="2" l="1"/>
  <c r="M23" i="2"/>
  <c r="M22" i="2"/>
  <c r="M21" i="2"/>
  <c r="M20" i="2"/>
  <c r="M19" i="2"/>
  <c r="D29" i="2"/>
  <c r="D32" i="2" s="1"/>
  <c r="C29" i="2"/>
  <c r="C32" i="2" s="1"/>
  <c r="B29" i="2"/>
  <c r="B32" i="2" s="1"/>
  <c r="B24" i="2"/>
  <c r="C24" i="2" s="1"/>
  <c r="E30" i="2" l="1"/>
  <c r="D30" i="2"/>
  <c r="D31" i="2" s="1"/>
  <c r="C30" i="2"/>
  <c r="B30" i="2"/>
  <c r="B31" i="2" s="1"/>
  <c r="D24" i="2"/>
  <c r="E24" i="2" s="1"/>
  <c r="C31" i="2" l="1"/>
  <c r="D34" i="2"/>
  <c r="D35" i="2" s="1"/>
  <c r="G28" i="2"/>
  <c r="H28" i="2" s="1"/>
  <c r="E31" i="2"/>
  <c r="M5" i="2" l="1"/>
  <c r="M6" i="2" s="1"/>
  <c r="M7" i="2" s="1"/>
  <c r="B8" i="4" l="1"/>
  <c r="B14" i="3" l="1"/>
  <c r="C86" i="4" l="1"/>
  <c r="B25" i="3"/>
  <c r="C85" i="4" l="1"/>
  <c r="D42" i="4" l="1"/>
  <c r="C47" i="4"/>
  <c r="C23" i="4"/>
  <c r="C50" i="4"/>
  <c r="E50" i="4"/>
  <c r="B9" i="2"/>
  <c r="D9" i="2" s="1"/>
  <c r="B6" i="4"/>
  <c r="B14" i="4"/>
  <c r="E14" i="4" s="1"/>
  <c r="C14" i="4" s="1"/>
  <c r="D6" i="4" l="1"/>
  <c r="C6" i="4"/>
  <c r="D73" i="4"/>
  <c r="E73" i="4"/>
  <c r="D75" i="4"/>
  <c r="E75" i="4"/>
  <c r="D74" i="4"/>
  <c r="E74" i="4"/>
  <c r="E65" i="4"/>
  <c r="D65" i="4"/>
  <c r="E67" i="4"/>
  <c r="D67" i="4"/>
  <c r="E66" i="4"/>
  <c r="D66" i="4"/>
  <c r="D70" i="4"/>
  <c r="D72" i="4"/>
  <c r="E72" i="4"/>
  <c r="E71" i="4"/>
  <c r="D71" i="4"/>
  <c r="E70" i="4"/>
  <c r="E61" i="4"/>
  <c r="E64" i="4"/>
  <c r="E62" i="4"/>
  <c r="E63" i="4"/>
  <c r="D61" i="4"/>
  <c r="D64" i="4"/>
  <c r="D62" i="4"/>
  <c r="D63" i="4"/>
  <c r="D40" i="4"/>
  <c r="E40" i="4" s="1"/>
  <c r="E45" i="4" s="1"/>
  <c r="C46" i="4"/>
  <c r="D43" i="4"/>
  <c r="C48" i="4"/>
  <c r="D39" i="4"/>
  <c r="E39" i="4" s="1"/>
  <c r="C45" i="4" s="1"/>
  <c r="J58" i="3"/>
  <c r="J52" i="3"/>
  <c r="J48" i="3"/>
  <c r="J45" i="3"/>
  <c r="J44" i="3"/>
  <c r="J43" i="3"/>
  <c r="J42" i="3"/>
  <c r="J40" i="3"/>
  <c r="J26" i="3"/>
  <c r="J19" i="3"/>
  <c r="C51" i="4" l="1"/>
  <c r="B32" i="3"/>
  <c r="B33" i="3"/>
  <c r="B16" i="3"/>
  <c r="B17" i="3"/>
  <c r="B22" i="3"/>
  <c r="E51" i="4" l="1"/>
  <c r="E52" i="4" s="1"/>
  <c r="C52" i="4"/>
  <c r="D23" i="4" l="1"/>
  <c r="E6" i="4" l="1"/>
  <c r="B39" i="3" l="1"/>
  <c r="B13" i="3" l="1"/>
  <c r="B31" i="3"/>
  <c r="B34" i="3"/>
  <c r="B35" i="3"/>
  <c r="B36" i="3"/>
  <c r="B37" i="3"/>
  <c r="B38" i="3"/>
  <c r="D14" i="2" l="1"/>
  <c r="C14" i="2"/>
  <c r="B18" i="3" l="1"/>
  <c r="B56" i="3"/>
  <c r="B19" i="3"/>
  <c r="B54" i="3" l="1"/>
  <c r="D17" i="2" l="1"/>
  <c r="C17" i="2"/>
  <c r="B12" i="3" l="1"/>
  <c r="B15" i="3"/>
  <c r="B20" i="3"/>
  <c r="B21" i="3"/>
  <c r="B23" i="3"/>
  <c r="B24" i="3"/>
  <c r="B26" i="3"/>
  <c r="B27" i="3"/>
  <c r="B28" i="3"/>
  <c r="B29" i="3"/>
  <c r="B30" i="3"/>
  <c r="B40" i="3"/>
  <c r="B43" i="3"/>
  <c r="B44" i="3"/>
  <c r="B45" i="3"/>
  <c r="B46" i="3"/>
  <c r="B47" i="3"/>
  <c r="B48" i="3"/>
  <c r="B49" i="3"/>
  <c r="B50" i="3"/>
  <c r="B51" i="3"/>
  <c r="B52" i="3"/>
  <c r="B53" i="3"/>
  <c r="B55" i="3"/>
  <c r="B11" i="3"/>
  <c r="B14" i="2" l="1"/>
  <c r="B17" i="2" s="1"/>
  <c r="E3" i="1"/>
  <c r="D3" i="1"/>
  <c r="F3" i="1"/>
  <c r="G3" i="1"/>
  <c r="D4" i="1"/>
  <c r="E4" i="1"/>
  <c r="F4" i="1"/>
  <c r="G4" i="1"/>
  <c r="D5" i="1"/>
  <c r="E5" i="1"/>
  <c r="F5" i="1"/>
  <c r="G5" i="1"/>
  <c r="D6" i="1"/>
  <c r="E6" i="1"/>
  <c r="F6" i="1"/>
  <c r="G6" i="1"/>
  <c r="D7" i="1"/>
  <c r="E7" i="1"/>
  <c r="F7" i="1"/>
  <c r="G7" i="1"/>
  <c r="D8" i="1"/>
  <c r="E8" i="1"/>
  <c r="F8" i="1"/>
  <c r="G8" i="1"/>
  <c r="D9" i="1"/>
  <c r="E9" i="1"/>
  <c r="F9" i="1"/>
  <c r="G9" i="1"/>
  <c r="D10" i="1"/>
  <c r="E10" i="1"/>
  <c r="F10" i="1"/>
  <c r="G10" i="1"/>
  <c r="D11" i="1"/>
  <c r="E11" i="1"/>
  <c r="F11" i="1"/>
  <c r="G11" i="1"/>
  <c r="D12" i="1"/>
  <c r="E12" i="1"/>
  <c r="F12" i="1"/>
  <c r="G12" i="1"/>
  <c r="D13" i="1"/>
  <c r="E13" i="1"/>
  <c r="F13" i="1"/>
  <c r="G13" i="1"/>
  <c r="D14" i="1"/>
  <c r="E14" i="1"/>
  <c r="F14" i="1"/>
  <c r="G14" i="1"/>
  <c r="D15" i="1"/>
  <c r="E15" i="1"/>
  <c r="F15" i="1"/>
  <c r="G15" i="1"/>
  <c r="D16" i="1"/>
  <c r="E16" i="1"/>
  <c r="F16" i="1"/>
  <c r="G16" i="1"/>
  <c r="N9" i="2" l="1"/>
  <c r="N12" i="2"/>
  <c r="N10" i="2"/>
  <c r="N11" i="2"/>
  <c r="C9" i="2"/>
  <c r="C15" i="2" l="1"/>
  <c r="B15" i="2"/>
  <c r="F32" i="2" s="1"/>
  <c r="F33" i="2" s="1"/>
  <c r="E15" i="2"/>
  <c r="G13" i="2" s="1"/>
  <c r="H13" i="2" s="1"/>
  <c r="D15" i="2"/>
  <c r="D16" i="2" s="1"/>
  <c r="E9" i="2"/>
  <c r="F31" i="2" l="1"/>
  <c r="G24" i="2"/>
  <c r="B16" i="2"/>
  <c r="C16" i="2"/>
  <c r="E16" i="2"/>
  <c r="F17" i="2" l="1"/>
  <c r="F18" i="2" s="1"/>
  <c r="F16" i="2"/>
  <c r="G9" i="2"/>
  <c r="H24" i="2" s="1"/>
  <c r="B30" i="4"/>
  <c r="H9" i="2" l="1"/>
  <c r="B32" i="4"/>
  <c r="D30" i="4"/>
  <c r="B28" i="4"/>
  <c r="C30" i="4"/>
  <c r="C12" i="4"/>
  <c r="D18" i="4" s="1"/>
</calcChain>
</file>

<file path=xl/comments1.xml><?xml version="1.0" encoding="utf-8"?>
<comments xmlns="http://schemas.openxmlformats.org/spreadsheetml/2006/main">
  <authors>
    <author>Jadon Wade</author>
  </authors>
  <commentList>
    <comment ref="B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M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multipliers for Isp to buffer against annoying and near-unplayable dV with some part mods</t>
        </r>
      </text>
    </comment>
    <comment ref="N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Isp goes up, mass flow must go down. The opposite is true.</t>
        </r>
      </text>
    </comment>
    <comment ref="G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1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  <comment ref="B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impulse]
The conventional format for rocket fuel efficiency. "Newton-seconds"</t>
        </r>
      </text>
    </comment>
    <comment ref="B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[Exhaust velocity]
The speed of the reaction products leaving the engine. This is more important than Ns Isp</t>
        </r>
      </text>
    </comment>
    <comment ref="C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propellant mass flow into combustion chamber</t>
        </r>
      </text>
    </comment>
    <comment ref="D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Net mass-energy released through the engine. Treat it as thermal mass/energy</t>
        </r>
      </text>
    </comment>
    <comment ref="E2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[Specific energy]
Energy density per unit mass of fuel reacting</t>
        </r>
      </text>
    </comment>
    <comment ref="G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EC value is not where I want it to be, express its offset as a fraction</t>
        </r>
      </text>
    </comment>
    <comment ref="H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Derived from offset fraction. Put this into input field to cancel the offset</t>
        </r>
      </text>
    </comment>
    <comment ref="I2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The in-game value that I want to get</t>
        </r>
      </text>
    </comment>
  </commentList>
</comments>
</file>

<file path=xl/comments2.xml><?xml version="1.0" encoding="utf-8"?>
<comments xmlns="http://schemas.openxmlformats.org/spreadsheetml/2006/main">
  <authors>
    <author>Jadon Wade</author>
  </authors>
  <commentList>
    <comment ref="A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important stats from thrust and Isp of an arbitrary propellant</t>
        </r>
      </text>
    </comment>
    <comment ref="G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Light speed</t>
        </r>
      </text>
    </comment>
    <comment ref="G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Earth standard acceleration (by gravity)</t>
        </r>
      </text>
    </comment>
    <comment ref="A10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missing values/specs from Thruster power and Isp on the many engine type entries on Project Rho/ Atomic Rockets website</t>
        </r>
      </text>
    </comment>
    <comment ref="A2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Get effective thrust and EC demand from a sample lightcraft driver laser wattage</t>
        </r>
      </text>
    </comment>
    <comment ref="A2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If a given fusion or oxidating reactor was built open-ended for use with a thermal nozzle, get engine-related stats from the reaction's energy density and a desired thrust</t>
        </r>
      </text>
    </comment>
    <comment ref="A3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velocity of a given chemical passed through a nuclear thermal chamber with a given chember temperature, chamber pressure and ideal ambient pressure.
Does not account for other properties of the chemical such as Specific Heat [Hsp] so may not be reliable for NTR configs for just any chemical.
Adapted from formula on fxsolver.com</t>
        </r>
      </text>
    </comment>
    <comment ref="B3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temperature</t>
        </r>
      </text>
    </comment>
    <comment ref="B38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gas constant</t>
        </r>
      </text>
    </comment>
    <comment ref="B3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Molar mass</t>
        </r>
      </text>
    </comment>
    <comment ref="B41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Isentropic heat expansion factor. Dry air usually 1.398; scalar</t>
        </r>
      </text>
    </comment>
    <comment ref="B4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Exhaust pressure at nozzle exit. What the ideal atmospheric pressure around the engine should be</t>
        </r>
      </text>
    </comment>
    <comment ref="B4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Inlet gas pressure (or reaction chamber pressure)</t>
        </r>
      </text>
    </comment>
    <comment ref="A5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Reference table of choice propellants and Isp based on a NASA PDF. Unfortunately, these don't line up with the Exhaust gas velocity calculator above, therefore, the disclaimer in the comment there</t>
        </r>
      </text>
    </comment>
    <comment ref="E57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Exchange of thrust for Isp isn't always linear so dampen the climb rate of the thrust multipliers</t>
        </r>
      </text>
    </comment>
    <comment ref="B69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For Classic Stock Resources; Angelo Kerman's mods.</t>
        </r>
      </text>
    </comment>
    <comment ref="B82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Total heat production of a given reactor</t>
        </r>
      </text>
    </comment>
    <comment ref="B83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hot reservoir or power source</t>
        </r>
      </text>
    </comment>
    <comment ref="B84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Temperature of cold reservoir or radiator</t>
        </r>
      </text>
    </comment>
    <comment ref="B85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Work; useful energy; ElectricCharge produced; heat destroyed</t>
        </r>
      </text>
    </comment>
    <comment ref="B86" authorId="0" shapeId="0">
      <text>
        <r>
          <rPr>
            <b/>
            <sz val="9"/>
            <color indexed="81"/>
            <rFont val="Tahoma"/>
            <family val="2"/>
          </rPr>
          <t>Jadon Wade:</t>
        </r>
        <r>
          <rPr>
            <sz val="9"/>
            <color indexed="81"/>
            <rFont val="Tahoma"/>
            <family val="2"/>
          </rPr>
          <t xml:space="preserve">
Ratio of Temps differential</t>
        </r>
      </text>
    </comment>
  </commentList>
</comments>
</file>

<file path=xl/sharedStrings.xml><?xml version="1.0" encoding="utf-8"?>
<sst xmlns="http://schemas.openxmlformats.org/spreadsheetml/2006/main" count="358" uniqueCount="237">
  <si>
    <t>name</t>
  </si>
  <si>
    <t>Thrust(kN)</t>
  </si>
  <si>
    <t>Isp(s)</t>
  </si>
  <si>
    <t>Ve (m/s)</t>
  </si>
  <si>
    <t>flow(kg/s)</t>
  </si>
  <si>
    <t>power(W)</t>
  </si>
  <si>
    <t>J/kg</t>
  </si>
  <si>
    <t>24-77</t>
  </si>
  <si>
    <t>48-7S</t>
  </si>
  <si>
    <t>aerospike</t>
  </si>
  <si>
    <t>LV-1</t>
  </si>
  <si>
    <t>LV-1R</t>
  </si>
  <si>
    <t>LV-909</t>
  </si>
  <si>
    <t>LV-N</t>
  </si>
  <si>
    <t>LF only</t>
  </si>
  <si>
    <t>LV-T30</t>
  </si>
  <si>
    <t>LV-T45</t>
  </si>
  <si>
    <t>mainsail</t>
  </si>
  <si>
    <t>Mk55</t>
  </si>
  <si>
    <t>poodle</t>
  </si>
  <si>
    <t>SSME</t>
  </si>
  <si>
    <t>skipper</t>
  </si>
  <si>
    <t>Flow (kg/s)</t>
  </si>
  <si>
    <t>Name</t>
  </si>
  <si>
    <t>Mass (kg)</t>
  </si>
  <si>
    <t>Density (kg)</t>
  </si>
  <si>
    <t>LiquidFuel</t>
  </si>
  <si>
    <t>Oxidizer</t>
  </si>
  <si>
    <t>MonoPropellant</t>
  </si>
  <si>
    <t>LqdHydrogen</t>
  </si>
  <si>
    <t>LqdMethane</t>
  </si>
  <si>
    <t>SolidFuel</t>
  </si>
  <si>
    <t>ElectricCharge</t>
  </si>
  <si>
    <t>Power (W)</t>
  </si>
  <si>
    <t>Power (J/kg)</t>
  </si>
  <si>
    <t>Inputs</t>
  </si>
  <si>
    <t>Outputs</t>
  </si>
  <si>
    <t>XenonGas</t>
  </si>
  <si>
    <t>Lithium</t>
  </si>
  <si>
    <t>EnrichedUranium</t>
  </si>
  <si>
    <t>Antimatter</t>
  </si>
  <si>
    <t>ArgonGas</t>
  </si>
  <si>
    <t>Metal(s)</t>
  </si>
  <si>
    <t>LqdDeuterium</t>
  </si>
  <si>
    <t>LqdCO2</t>
  </si>
  <si>
    <t>LqdAmmonia</t>
  </si>
  <si>
    <t>LqdHe3</t>
  </si>
  <si>
    <t>Karbonite</t>
  </si>
  <si>
    <t>Karborundum</t>
  </si>
  <si>
    <t>Atmosphere</t>
  </si>
  <si>
    <t>CompressedAtmosphere</t>
  </si>
  <si>
    <t>Nitronite</t>
  </si>
  <si>
    <t>Propellium</t>
  </si>
  <si>
    <t>Raptium</t>
  </si>
  <si>
    <t>Explodium</t>
  </si>
  <si>
    <t>Oxium</t>
  </si>
  <si>
    <t>Blutonium</t>
  </si>
  <si>
    <t>Hexagen</t>
  </si>
  <si>
    <t>RHK1</t>
  </si>
  <si>
    <t>ElectroPlasma</t>
  </si>
  <si>
    <t>____CRP____</t>
  </si>
  <si>
    <t>____WBI____</t>
  </si>
  <si>
    <t>Samples by @taniwha</t>
  </si>
  <si>
    <t>Intake(Air/Atm)</t>
  </si>
  <si>
    <t>Name (dropdown)</t>
  </si>
  <si>
    <t>Ratio (for cfg)</t>
  </si>
  <si>
    <t>Stats (from cfg)</t>
  </si>
  <si>
    <t>Blue items are drop-down selectors. Orange fields are inputs. Only type into the orange fields.</t>
  </si>
  <si>
    <t>SRMFuel</t>
  </si>
  <si>
    <t>Supports stock, CRP and WBI.</t>
  </si>
  <si>
    <t>Mass (kg/s)</t>
  </si>
  <si>
    <t>Ratio (U/s)</t>
  </si>
  <si>
    <t>Total flow (kg/s)</t>
  </si>
  <si>
    <t>Units/s (in-game)</t>
  </si>
  <si>
    <t>Rock</t>
  </si>
  <si>
    <t>Ore</t>
  </si>
  <si>
    <t>FusionPellets</t>
  </si>
  <si>
    <t>Water (CRP)</t>
  </si>
  <si>
    <t>Water (WBI)</t>
  </si>
  <si>
    <t>MetallicHydrogen</t>
  </si>
  <si>
    <t>NuclearSaltWater</t>
  </si>
  <si>
    <t>FissionPellets</t>
  </si>
  <si>
    <t>MMH</t>
  </si>
  <si>
    <t>NTO</t>
  </si>
  <si>
    <t>AZ50</t>
  </si>
  <si>
    <t>LqdOxygen</t>
  </si>
  <si>
    <t>UDMH</t>
  </si>
  <si>
    <t>UH25</t>
  </si>
  <si>
    <t>Fraction</t>
  </si>
  <si>
    <t>Do not input propellants that have "IgnoreForIsp = True"</t>
  </si>
  <si>
    <t>Classic Stock</t>
  </si>
  <si>
    <t>~ Re-input</t>
  </si>
  <si>
    <t>EC Target</t>
  </si>
  <si>
    <t>c</t>
  </si>
  <si>
    <t>Lightcraft</t>
  </si>
  <si>
    <t>ElectricCharge (kW or kWh)</t>
  </si>
  <si>
    <t>Thrust (Vac, kN)</t>
  </si>
  <si>
    <t>Weight (t)</t>
  </si>
  <si>
    <t>Basic</t>
  </si>
  <si>
    <t>Advanced</t>
  </si>
  <si>
    <t>Extra</t>
  </si>
  <si>
    <t>Reactor to engine</t>
  </si>
  <si>
    <t>Esp (J/kg)</t>
  </si>
  <si>
    <t>Kerosene</t>
  </si>
  <si>
    <t>Ethanol</t>
  </si>
  <si>
    <t>Ethanol75</t>
  </si>
  <si>
    <t>LqdNitrogen</t>
  </si>
  <si>
    <t>Hydrogen</t>
  </si>
  <si>
    <t>R</t>
  </si>
  <si>
    <t>(1-(Pe^Z)/P)</t>
  </si>
  <si>
    <t>(T*R)/M</t>
  </si>
  <si>
    <t>P</t>
  </si>
  <si>
    <t>Pe</t>
  </si>
  <si>
    <t>M</t>
  </si>
  <si>
    <t>T</t>
  </si>
  <si>
    <t>Exhaust gas velocity</t>
  </si>
  <si>
    <t>Alumina</t>
  </si>
  <si>
    <t>Al2O3</t>
  </si>
  <si>
    <t>Aluminium</t>
  </si>
  <si>
    <t>Al</t>
  </si>
  <si>
    <t>Ammonia</t>
  </si>
  <si>
    <t>NH3</t>
  </si>
  <si>
    <t>Ar</t>
  </si>
  <si>
    <t>Carbon</t>
  </si>
  <si>
    <t>C</t>
  </si>
  <si>
    <t>CarbonDioxide</t>
  </si>
  <si>
    <t>CO2</t>
  </si>
  <si>
    <t>CarbonMonoxide</t>
  </si>
  <si>
    <t>CO</t>
  </si>
  <si>
    <t>Chlorine</t>
  </si>
  <si>
    <t>Cl2</t>
  </si>
  <si>
    <t>Depleted [Fuel/Uranium]</t>
  </si>
  <si>
    <t>U</t>
  </si>
  <si>
    <t>Deuterium</t>
  </si>
  <si>
    <t>D / 2H</t>
  </si>
  <si>
    <t>Dirt</t>
  </si>
  <si>
    <t>Sand (SiO2)</t>
  </si>
  <si>
    <t>C2H6O</t>
  </si>
  <si>
    <t>C2H6O[3] + H2O[1]</t>
  </si>
  <si>
    <t>ExoticMinerals</t>
  </si>
  <si>
    <t>Xenotime (YPO4)</t>
  </si>
  <si>
    <t>Fluorine</t>
  </si>
  <si>
    <t>F2</t>
  </si>
  <si>
    <t>D+He3</t>
  </si>
  <si>
    <t>Glykerol</t>
  </si>
  <si>
    <t>Glycerol (C3H8O3)</t>
  </si>
  <si>
    <t>Gypsum</t>
  </si>
  <si>
    <t>Gypsum (CaSO4+2H2O)</t>
  </si>
  <si>
    <t>Helium-3</t>
  </si>
  <si>
    <t>3He</t>
  </si>
  <si>
    <t>Helium</t>
  </si>
  <si>
    <t>He / 4He</t>
  </si>
  <si>
    <t>HTP</t>
  </si>
  <si>
    <t>H2O2</t>
  </si>
  <si>
    <t>Hydrates</t>
  </si>
  <si>
    <t>Ferrihydrite (Fe2O3+0.5(H2O))</t>
  </si>
  <si>
    <t>Hydrazine</t>
  </si>
  <si>
    <t>N2H4</t>
  </si>
  <si>
    <t>H2</t>
  </si>
  <si>
    <t>Dodecane (C12H26)</t>
  </si>
  <si>
    <t>Li</t>
  </si>
  <si>
    <t>LqdCO</t>
  </si>
  <si>
    <t>LqdHe</t>
  </si>
  <si>
    <t>CH4</t>
  </si>
  <si>
    <t>O2</t>
  </si>
  <si>
    <t>N2</t>
  </si>
  <si>
    <t>MetallicOre</t>
  </si>
  <si>
    <t>Hematite (Fe2O3)</t>
  </si>
  <si>
    <t>MetalOre</t>
  </si>
  <si>
    <t>Iron (Fe)</t>
  </si>
  <si>
    <t>Methane</t>
  </si>
  <si>
    <t>Minerals</t>
  </si>
  <si>
    <t>Quartz (SiO2)</t>
  </si>
  <si>
    <r>
      <t>CH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0"/>
        <color indexed="8"/>
        <rFont val="Sans"/>
      </rPr>
      <t>(NH)NH</t>
    </r>
    <r>
      <rPr>
        <vertAlign val="subscript"/>
        <sz val="12"/>
        <color theme="1"/>
        <rFont val="Calibri"/>
        <family val="2"/>
        <scheme val="minor"/>
      </rPr>
      <t>2</t>
    </r>
  </si>
  <si>
    <t>Monazite</t>
  </si>
  <si>
    <t>Lanthanum var (LaPO4)</t>
  </si>
  <si>
    <t>Nitrogen</t>
  </si>
  <si>
    <t>N2O4</t>
  </si>
  <si>
    <t>Oxygen</t>
  </si>
  <si>
    <t>Phosphorus</t>
  </si>
  <si>
    <t>RareMetals</t>
  </si>
  <si>
    <t>Platinum (Pt)</t>
  </si>
  <si>
    <t>Silicates</t>
  </si>
  <si>
    <t>Silicon</t>
  </si>
  <si>
    <t>Si</t>
  </si>
  <si>
    <t>Spodumene</t>
  </si>
  <si>
    <t>LiAl(SiO3)2</t>
  </si>
  <si>
    <t>Uraninite</t>
  </si>
  <si>
    <t>UO2</t>
  </si>
  <si>
    <t>H2NN(CH3)2</t>
  </si>
  <si>
    <t>Hydrazine + UDMH (25:75)</t>
  </si>
  <si>
    <t>H2O</t>
  </si>
  <si>
    <t>Chem Symbol</t>
  </si>
  <si>
    <t>Moles</t>
  </si>
  <si>
    <t>Molar mass</t>
  </si>
  <si>
    <t>Isp (Ns)</t>
  </si>
  <si>
    <t>LH2</t>
  </si>
  <si>
    <t>RRNF Ratios</t>
  </si>
  <si>
    <t>Water</t>
  </si>
  <si>
    <t>Fresh Air</t>
  </si>
  <si>
    <t>Thrust mult</t>
  </si>
  <si>
    <t>Thrust mult exp</t>
  </si>
  <si>
    <t>Ve (%c)</t>
  </si>
  <si>
    <t>(Stale/Comp) Atm</t>
  </si>
  <si>
    <t>Energy Calculators</t>
  </si>
  <si>
    <t>γ</t>
  </si>
  <si>
    <t>(2γ/γ-1)</t>
  </si>
  <si>
    <t>ɡ0</t>
  </si>
  <si>
    <t>Thrust (kN)</t>
  </si>
  <si>
    <t>Engine Spec</t>
  </si>
  <si>
    <t>γ-1/γ</t>
  </si>
  <si>
    <t>CRP</t>
  </si>
  <si>
    <t>Engine count</t>
  </si>
  <si>
    <t>TWR per engine</t>
  </si>
  <si>
    <t>Isp (s)</t>
  </si>
  <si>
    <t>W</t>
  </si>
  <si>
    <t>Q</t>
  </si>
  <si>
    <t>Tc</t>
  </si>
  <si>
    <t>Th</t>
  </si>
  <si>
    <t>Rt</t>
  </si>
  <si>
    <t>Carnot cycle generator</t>
  </si>
  <si>
    <t>Boron</t>
  </si>
  <si>
    <t>B</t>
  </si>
  <si>
    <t>Orthosilicate (SiO4)</t>
  </si>
  <si>
    <t>New Isp</t>
  </si>
  <si>
    <t>Isp Mult</t>
  </si>
  <si>
    <t>New thrust</t>
  </si>
  <si>
    <t>Isp mult to -3/4 power</t>
  </si>
  <si>
    <t>Base thrust</t>
  </si>
  <si>
    <t>Base Isp</t>
  </si>
  <si>
    <t>Isp</t>
  </si>
  <si>
    <t>Thrust</t>
  </si>
  <si>
    <t>EnrU ratio</t>
  </si>
  <si>
    <t>Gear</t>
  </si>
  <si>
    <t>B Ratio</t>
  </si>
  <si>
    <t>W Ratio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</si>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</sst>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_-* #,##0_-;\-* #,##0_-;_-* &quot;-&quot;??_-;_-@_-"/>
    <numFmt numFmtId="168" formatCode="_-* #,##0.000_-;\-* #,##0.000_-;_-* &quot;-&quot;??_-;_-@_-"/>
    <numFmt numFmtId="169" formatCode="General\ &quot;J/mol-1 /K-1&quot;"/>
    <numFmt numFmtId="170" formatCode="0\ &quot;K&quot;"/>
    <numFmt numFmtId="171" formatCode="#,##0.00\ &quot;g/mol&quot;"/>
    <numFmt numFmtId="172" formatCode="0\ &quot;atm&quot;"/>
    <numFmt numFmtId="173" formatCode="0.00\ &quot;g/mol&quot;"/>
    <numFmt numFmtId="174" formatCode="0.000\ &quot;kg/mol&quot;"/>
    <numFmt numFmtId="175" formatCode="0.00&quot;x&quot;"/>
    <numFmt numFmtId="176" formatCode="0.00000\ &quot;m/s^2&quot;"/>
    <numFmt numFmtId="177" formatCode="#,###\ &quot;m/s&quot;"/>
    <numFmt numFmtId="178" formatCode="#,##0.00\ &quot;Pa&quot;"/>
    <numFmt numFmtId="179" formatCode="#,###\ &quot;kW&quot;"/>
    <numFmt numFmtId="182" formatCode="0.00000"/>
  </numFmts>
  <fonts count="27" x14ac:knownFonts="1">
    <font>
      <sz val="10"/>
      <color indexed="8"/>
      <name val="Sans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2"/>
      <color indexed="8"/>
      <name val="Sans"/>
    </font>
    <font>
      <sz val="11"/>
      <color indexed="8"/>
      <name val="Calibri"/>
      <family val="2"/>
      <scheme val="minor"/>
    </font>
    <font>
      <sz val="12"/>
      <color indexed="8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2"/>
      <color theme="8" tint="-0.24997711111789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indexed="8"/>
      <name val="Sans"/>
    </font>
    <font>
      <i/>
      <sz val="12"/>
      <color rgb="FF7F7F7F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70C0"/>
      <name val="Calibri"/>
      <family val="2"/>
      <scheme val="minor"/>
    </font>
    <font>
      <sz val="12"/>
      <color rgb="FFC00000"/>
      <name val="Calibri"/>
      <family val="2"/>
      <scheme val="minor"/>
    </font>
    <font>
      <u/>
      <sz val="10"/>
      <color theme="10"/>
      <name val="Sans"/>
    </font>
    <font>
      <sz val="10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39997558519241921"/>
      </bottom>
      <diagonal/>
    </border>
  </borders>
  <cellStyleXfs count="1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3" applyNumberFormat="0" applyAlignment="0" applyProtection="0"/>
    <xf numFmtId="0" fontId="4" fillId="3" borderId="3" applyNumberFormat="0" applyAlignment="0" applyProtection="0"/>
    <xf numFmtId="0" fontId="5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3" borderId="5" applyNumberFormat="0" applyAlignment="0" applyProtection="0"/>
    <xf numFmtId="0" fontId="15" fillId="0" borderId="6" applyNumberFormat="0" applyFill="0" applyAlignment="0" applyProtection="0"/>
    <xf numFmtId="43" fontId="16" fillId="0" borderId="0" applyFont="0" applyFill="0" applyBorder="0" applyAlignment="0" applyProtection="0"/>
    <xf numFmtId="0" fontId="18" fillId="0" borderId="0"/>
    <xf numFmtId="0" fontId="25" fillId="0" borderId="0" applyNumberFormat="0" applyFill="0" applyBorder="0" applyAlignment="0" applyProtection="0"/>
  </cellStyleXfs>
  <cellXfs count="87">
    <xf numFmtId="0" fontId="0" fillId="0" borderId="0" xfId="0"/>
    <xf numFmtId="0" fontId="8" fillId="0" borderId="0" xfId="0" applyFont="1" applyFill="1" applyAlignment="1"/>
    <xf numFmtId="0" fontId="9" fillId="0" borderId="0" xfId="0" applyFont="1" applyFill="1" applyAlignment="1"/>
    <xf numFmtId="164" fontId="9" fillId="0" borderId="0" xfId="0" applyNumberFormat="1" applyFont="1" applyFill="1" applyAlignment="1"/>
    <xf numFmtId="0" fontId="9" fillId="0" borderId="0" xfId="0" applyNumberFormat="1" applyFont="1" applyFill="1" applyAlignment="1"/>
    <xf numFmtId="0" fontId="9" fillId="0" borderId="0" xfId="0" applyFont="1"/>
    <xf numFmtId="0" fontId="4" fillId="3" borderId="3" xfId="4" applyAlignment="1"/>
    <xf numFmtId="0" fontId="2" fillId="0" borderId="2" xfId="2" applyFill="1" applyAlignment="1"/>
    <xf numFmtId="0" fontId="1" fillId="0" borderId="1" xfId="1" applyFill="1" applyAlignment="1"/>
    <xf numFmtId="0" fontId="5" fillId="0" borderId="4" xfId="5" applyFont="1" applyFill="1" applyAlignment="1"/>
    <xf numFmtId="0" fontId="6" fillId="0" borderId="0" xfId="6" applyNumberFormat="1" applyFont="1" applyFill="1" applyAlignment="1"/>
    <xf numFmtId="0" fontId="11" fillId="3" borderId="3" xfId="4" applyFont="1" applyAlignment="1"/>
    <xf numFmtId="0" fontId="10" fillId="2" borderId="3" xfId="3" applyFont="1" applyAlignment="1"/>
    <xf numFmtId="0" fontId="7" fillId="0" borderId="0" xfId="0" applyFont="1"/>
    <xf numFmtId="0" fontId="14" fillId="5" borderId="0" xfId="0" applyFont="1" applyFill="1"/>
    <xf numFmtId="0" fontId="6" fillId="0" borderId="0" xfId="6"/>
    <xf numFmtId="165" fontId="3" fillId="2" borderId="3" xfId="3" applyNumberFormat="1" applyFont="1" applyAlignment="1"/>
    <xf numFmtId="166" fontId="3" fillId="2" borderId="3" xfId="3" applyNumberFormat="1" applyFont="1" applyAlignment="1"/>
    <xf numFmtId="0" fontId="5" fillId="0" borderId="4" xfId="5"/>
    <xf numFmtId="0" fontId="13" fillId="3" borderId="5" xfId="8" applyAlignment="1"/>
    <xf numFmtId="43" fontId="4" fillId="3" borderId="3" xfId="10" applyFont="1" applyFill="1" applyBorder="1" applyAlignment="1"/>
    <xf numFmtId="0" fontId="4" fillId="3" borderId="3" xfId="4"/>
    <xf numFmtId="0" fontId="3" fillId="2" borderId="3" xfId="3"/>
    <xf numFmtId="43" fontId="3" fillId="2" borderId="3" xfId="10" applyFont="1" applyFill="1" applyBorder="1" applyAlignment="1"/>
    <xf numFmtId="43" fontId="3" fillId="2" borderId="3" xfId="10" applyFont="1" applyFill="1" applyBorder="1"/>
    <xf numFmtId="43" fontId="4" fillId="3" borderId="3" xfId="4" applyNumberFormat="1" applyFont="1" applyAlignment="1"/>
    <xf numFmtId="167" fontId="3" fillId="2" borderId="3" xfId="10" applyNumberFormat="1" applyFont="1" applyFill="1" applyBorder="1" applyAlignment="1"/>
    <xf numFmtId="11" fontId="3" fillId="2" borderId="3" xfId="3" applyNumberFormat="1"/>
    <xf numFmtId="43" fontId="4" fillId="3" borderId="3" xfId="10" applyFont="1" applyFill="1" applyBorder="1"/>
    <xf numFmtId="11" fontId="3" fillId="2" borderId="3" xfId="3" applyNumberFormat="1" applyFont="1"/>
    <xf numFmtId="168" fontId="4" fillId="3" borderId="3" xfId="10" applyNumberFormat="1" applyFont="1" applyFill="1" applyBorder="1"/>
    <xf numFmtId="0" fontId="18" fillId="0" borderId="0" xfId="11"/>
    <xf numFmtId="0" fontId="0" fillId="0" borderId="0" xfId="0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0" fontId="3" fillId="2" borderId="3" xfId="3" applyNumberFormat="1"/>
    <xf numFmtId="169" fontId="6" fillId="0" borderId="0" xfId="6" applyNumberFormat="1"/>
    <xf numFmtId="172" fontId="3" fillId="2" borderId="3" xfId="3" applyNumberFormat="1"/>
    <xf numFmtId="2" fontId="4" fillId="3" borderId="3" xfId="4" applyNumberFormat="1"/>
    <xf numFmtId="0" fontId="18" fillId="0" borderId="0" xfId="11" applyFont="1"/>
    <xf numFmtId="173" fontId="5" fillId="0" borderId="4" xfId="5" applyNumberFormat="1"/>
    <xf numFmtId="174" fontId="5" fillId="0" borderId="4" xfId="5" applyNumberFormat="1"/>
    <xf numFmtId="2" fontId="9" fillId="0" borderId="0" xfId="0" applyNumberFormat="1" applyFont="1"/>
    <xf numFmtId="164" fontId="9" fillId="0" borderId="0" xfId="0" applyNumberFormat="1" applyFont="1"/>
    <xf numFmtId="0" fontId="23" fillId="0" borderId="0" xfId="0" applyFont="1"/>
    <xf numFmtId="0" fontId="24" fillId="0" borderId="0" xfId="0" applyFont="1"/>
    <xf numFmtId="175" fontId="9" fillId="0" borderId="0" xfId="0" applyNumberFormat="1" applyFont="1"/>
    <xf numFmtId="2" fontId="3" fillId="2" borderId="3" xfId="3" applyNumberFormat="1"/>
    <xf numFmtId="175" fontId="4" fillId="3" borderId="3" xfId="4" applyNumberFormat="1"/>
    <xf numFmtId="0" fontId="2" fillId="0" borderId="2" xfId="2"/>
    <xf numFmtId="176" fontId="17" fillId="0" borderId="0" xfId="10" applyNumberFormat="1" applyFont="1"/>
    <xf numFmtId="177" fontId="17" fillId="0" borderId="0" xfId="10" applyNumberFormat="1" applyFont="1"/>
    <xf numFmtId="43" fontId="4" fillId="3" borderId="3" xfId="10" applyNumberFormat="1" applyFont="1" applyFill="1" applyBorder="1"/>
    <xf numFmtId="43" fontId="13" fillId="3" borderId="5" xfId="10" applyFont="1" applyFill="1" applyBorder="1"/>
    <xf numFmtId="2" fontId="13" fillId="3" borderId="5" xfId="8" applyNumberFormat="1"/>
    <xf numFmtId="165" fontId="4" fillId="3" borderId="3" xfId="4" applyNumberFormat="1"/>
    <xf numFmtId="178" fontId="5" fillId="0" borderId="4" xfId="5" applyNumberFormat="1"/>
    <xf numFmtId="0" fontId="25" fillId="0" borderId="0" xfId="12"/>
    <xf numFmtId="175" fontId="3" fillId="2" borderId="3" xfId="3" applyNumberFormat="1"/>
    <xf numFmtId="2" fontId="5" fillId="0" borderId="4" xfId="5" applyNumberFormat="1"/>
    <xf numFmtId="1" fontId="9" fillId="0" borderId="0" xfId="0" applyNumberFormat="1" applyFont="1"/>
    <xf numFmtId="168" fontId="4" fillId="3" borderId="3" xfId="10" applyNumberFormat="1" applyFont="1" applyFill="1" applyBorder="1" applyAlignment="1"/>
    <xf numFmtId="179" fontId="3" fillId="2" borderId="3" xfId="10" applyNumberFormat="1" applyFont="1" applyFill="1" applyBorder="1"/>
    <xf numFmtId="179" fontId="13" fillId="3" borderId="5" xfId="8" applyNumberFormat="1"/>
    <xf numFmtId="0" fontId="9" fillId="0" borderId="0" xfId="0" applyFont="1" applyAlignment="1">
      <alignment horizontal="left"/>
    </xf>
    <xf numFmtId="0" fontId="3" fillId="2" borderId="3" xfId="3" applyAlignment="1"/>
    <xf numFmtId="0" fontId="6" fillId="0" borderId="0" xfId="6" applyFont="1"/>
    <xf numFmtId="0" fontId="26" fillId="0" borderId="0" xfId="0" applyFont="1"/>
    <xf numFmtId="0" fontId="3" fillId="2" borderId="3" xfId="3" applyFont="1" applyAlignment="1"/>
    <xf numFmtId="0" fontId="6" fillId="0" borderId="0" xfId="6" applyFont="1" applyFill="1" applyAlignment="1"/>
    <xf numFmtId="0" fontId="4" fillId="3" borderId="3" xfId="4" applyFont="1" applyAlignment="1"/>
    <xf numFmtId="165" fontId="4" fillId="3" borderId="3" xfId="4" applyNumberFormat="1" applyFont="1" applyAlignment="1"/>
    <xf numFmtId="0" fontId="12" fillId="4" borderId="0" xfId="7" applyFont="1" applyAlignment="1"/>
    <xf numFmtId="164" fontId="13" fillId="3" borderId="5" xfId="8" applyNumberFormat="1" applyFont="1" applyAlignment="1"/>
    <xf numFmtId="0" fontId="2" fillId="0" borderId="2" xfId="2" applyFont="1" applyFill="1" applyAlignment="1"/>
    <xf numFmtId="165" fontId="13" fillId="3" borderId="5" xfId="8" applyNumberFormat="1" applyFont="1" applyAlignment="1"/>
    <xf numFmtId="0" fontId="15" fillId="0" borderId="6" xfId="9" applyFont="1"/>
    <xf numFmtId="166" fontId="4" fillId="3" borderId="3" xfId="4" applyNumberFormat="1" applyFont="1" applyAlignment="1"/>
    <xf numFmtId="0" fontId="13" fillId="3" borderId="5" xfId="8" applyFont="1" applyAlignment="1"/>
    <xf numFmtId="1" fontId="3" fillId="2" borderId="3" xfId="3" applyNumberFormat="1" applyFont="1" applyAlignment="1"/>
    <xf numFmtId="0" fontId="13" fillId="3" borderId="5" xfId="8"/>
    <xf numFmtId="0" fontId="1" fillId="0" borderId="1" xfId="1" applyFont="1" applyFill="1" applyAlignment="1">
      <alignment horizontal="center"/>
    </xf>
    <xf numFmtId="0" fontId="9" fillId="0" borderId="0" xfId="0" applyFont="1" applyFill="1" applyAlignment="1">
      <alignment horizontal="center"/>
    </xf>
    <xf numFmtId="0" fontId="1" fillId="0" borderId="1" xfId="1" applyAlignment="1">
      <alignment horizontal="center"/>
    </xf>
    <xf numFmtId="166" fontId="9" fillId="0" borderId="0" xfId="0" applyNumberFormat="1" applyFont="1" applyFill="1" applyAlignment="1"/>
    <xf numFmtId="182" fontId="9" fillId="0" borderId="0" xfId="0" applyNumberFormat="1" applyFont="1" applyFill="1" applyAlignment="1"/>
    <xf numFmtId="182" fontId="3" fillId="2" borderId="3" xfId="3" applyNumberFormat="1" applyFont="1" applyAlignment="1"/>
  </cellXfs>
  <cellStyles count="13">
    <cellStyle name="Calculation" xfId="4" builtinId="22"/>
    <cellStyle name="Comma" xfId="10" builtinId="3"/>
    <cellStyle name="Explanatory Text" xfId="6" builtinId="53"/>
    <cellStyle name="Good" xfId="7" builtinId="26"/>
    <cellStyle name="Heading 1" xfId="1" builtinId="16"/>
    <cellStyle name="Heading 2" xfId="2" builtinId="17"/>
    <cellStyle name="Heading 3" xfId="9" builtinId="18"/>
    <cellStyle name="Hyperlink" xfId="12" builtinId="8"/>
    <cellStyle name="Input" xfId="3" builtinId="20"/>
    <cellStyle name="Linked Cell" xfId="5" builtinId="24"/>
    <cellStyle name="Normal" xfId="0" builtinId="0"/>
    <cellStyle name="Normal 2" xfId="11"/>
    <cellStyle name="Output" xfId="8" builtinId="2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C7C7C7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Q80"/>
  <sheetViews>
    <sheetView tabSelected="1" zoomScaleNormal="100" workbookViewId="0">
      <selection activeCell="L31" sqref="L31"/>
    </sheetView>
  </sheetViews>
  <sheetFormatPr defaultRowHeight="15.75" x14ac:dyDescent="0.25"/>
  <cols>
    <col min="1" max="3" width="19.7109375" style="2" customWidth="1"/>
    <col min="4" max="4" width="21.140625" style="2" customWidth="1"/>
    <col min="5" max="5" width="21.5703125" style="2" customWidth="1"/>
    <col min="6" max="6" width="9.140625" style="2"/>
    <col min="7" max="7" width="14.28515625" style="2" customWidth="1"/>
    <col min="8" max="8" width="14.140625" style="2" customWidth="1"/>
    <col min="9" max="9" width="14.42578125" style="2" customWidth="1"/>
    <col min="10" max="10" width="9.140625" style="2"/>
    <col min="11" max="12" width="9.140625" style="2" customWidth="1"/>
    <col min="13" max="16" width="9.140625" style="2"/>
    <col min="17" max="18" width="9.140625" style="2" customWidth="1"/>
    <col min="19" max="251" width="9.140625" style="2"/>
    <col min="252" max="16384" width="9.140625" style="5"/>
  </cols>
  <sheetData>
    <row r="1" spans="1:28" ht="20.25" thickBot="1" x14ac:dyDescent="0.35">
      <c r="A1" s="81" t="s">
        <v>209</v>
      </c>
      <c r="B1" s="81"/>
      <c r="C1" s="81"/>
      <c r="D1" s="81"/>
      <c r="E1" s="81"/>
    </row>
    <row r="2" spans="1:28" ht="16.5" thickTop="1" x14ac:dyDescent="0.25">
      <c r="A2" s="66" t="s">
        <v>67</v>
      </c>
      <c r="B2" s="67"/>
      <c r="C2" s="67"/>
      <c r="D2" s="67"/>
      <c r="E2" s="67"/>
      <c r="L2" s="2" t="s">
        <v>228</v>
      </c>
      <c r="M2" s="68">
        <v>60</v>
      </c>
      <c r="V2" s="2" t="s">
        <v>233</v>
      </c>
      <c r="W2" s="2" t="s">
        <v>234</v>
      </c>
      <c r="X2" s="2" t="s">
        <v>235</v>
      </c>
    </row>
    <row r="3" spans="1:28" x14ac:dyDescent="0.25">
      <c r="A3" s="66" t="s">
        <v>69</v>
      </c>
      <c r="B3" s="67"/>
      <c r="C3" s="67"/>
      <c r="D3" s="67"/>
      <c r="E3" s="67"/>
      <c r="L3" s="2" t="s">
        <v>229</v>
      </c>
      <c r="M3" s="68">
        <v>800</v>
      </c>
      <c r="N3" s="69"/>
      <c r="W3" s="2" t="s">
        <v>236</v>
      </c>
      <c r="X3" s="2" t="s">
        <v>132</v>
      </c>
      <c r="Z3" s="2" t="s">
        <v>236</v>
      </c>
      <c r="AA3" s="2" t="s">
        <v>132</v>
      </c>
    </row>
    <row r="4" spans="1:28" x14ac:dyDescent="0.25">
      <c r="A4" s="66" t="s">
        <v>89</v>
      </c>
      <c r="B4" s="67"/>
      <c r="C4" s="67"/>
      <c r="D4" s="67"/>
      <c r="E4" s="67"/>
      <c r="L4" s="2" t="s">
        <v>224</v>
      </c>
      <c r="M4" s="68">
        <v>380</v>
      </c>
      <c r="N4" s="69"/>
      <c r="X4" s="2" t="s">
        <v>107</v>
      </c>
      <c r="AA4" s="2" t="s">
        <v>198</v>
      </c>
    </row>
    <row r="5" spans="1:28" x14ac:dyDescent="0.25">
      <c r="A5" s="67"/>
      <c r="B5" s="67"/>
      <c r="C5" s="67"/>
      <c r="D5" s="67"/>
      <c r="E5" s="67"/>
      <c r="L5" s="2" t="s">
        <v>225</v>
      </c>
      <c r="M5" s="70">
        <f>M4/M3</f>
        <v>0.47499999999999998</v>
      </c>
      <c r="N5" s="69"/>
      <c r="V5" s="2">
        <v>1</v>
      </c>
      <c r="W5" s="2">
        <v>0</v>
      </c>
      <c r="X5" s="2">
        <v>0</v>
      </c>
      <c r="Z5" s="2">
        <v>0</v>
      </c>
      <c r="AA5" s="2">
        <v>0</v>
      </c>
    </row>
    <row r="6" spans="1:28" x14ac:dyDescent="0.25">
      <c r="A6" s="5" t="s">
        <v>35</v>
      </c>
      <c r="B6" s="2" t="s">
        <v>214</v>
      </c>
      <c r="C6" s="2" t="s">
        <v>208</v>
      </c>
      <c r="D6" s="5"/>
      <c r="E6" s="5"/>
      <c r="F6" s="5"/>
      <c r="L6" s="2" t="s">
        <v>200</v>
      </c>
      <c r="M6" s="71">
        <f>M5^-0.75</f>
        <v>1.7477519396551873</v>
      </c>
      <c r="N6" s="69" t="s">
        <v>227</v>
      </c>
      <c r="V6" s="2">
        <v>2</v>
      </c>
      <c r="W6" s="2">
        <v>1.1000000000000001</v>
      </c>
      <c r="X6" s="2">
        <v>0.23899999999999999</v>
      </c>
      <c r="Z6" s="2">
        <v>1.1086</v>
      </c>
      <c r="AA6" s="2">
        <v>3.38</v>
      </c>
      <c r="AB6" s="5"/>
    </row>
    <row r="7" spans="1:28" x14ac:dyDescent="0.25">
      <c r="A7" s="72" t="s">
        <v>66</v>
      </c>
      <c r="B7" s="23">
        <v>35000</v>
      </c>
      <c r="C7" s="23">
        <v>343.3</v>
      </c>
      <c r="D7" s="5"/>
      <c r="E7" s="5"/>
      <c r="F7" s="5"/>
      <c r="L7" s="2" t="s">
        <v>226</v>
      </c>
      <c r="M7" s="73">
        <f>60*M6</f>
        <v>104.86511637931123</v>
      </c>
      <c r="N7" s="69"/>
      <c r="V7" s="2">
        <v>3</v>
      </c>
      <c r="W7" s="2">
        <v>2.9537</v>
      </c>
      <c r="X7" s="2">
        <v>0.63800000000000001</v>
      </c>
      <c r="Y7" s="5"/>
      <c r="Z7" s="5">
        <v>2.95208</v>
      </c>
      <c r="AA7" s="5">
        <v>9</v>
      </c>
    </row>
    <row r="8" spans="1:28" ht="18" thickBot="1" x14ac:dyDescent="0.35">
      <c r="A8" s="2" t="s">
        <v>36</v>
      </c>
      <c r="B8" s="2" t="s">
        <v>3</v>
      </c>
      <c r="C8" s="2" t="s">
        <v>22</v>
      </c>
      <c r="D8" s="5" t="s">
        <v>33</v>
      </c>
      <c r="E8" s="5" t="s">
        <v>102</v>
      </c>
      <c r="G8" s="74" t="s">
        <v>72</v>
      </c>
      <c r="H8" s="74"/>
      <c r="V8" s="5">
        <v>4</v>
      </c>
      <c r="W8" s="5">
        <v>5.5324099999999996</v>
      </c>
      <c r="X8" s="2">
        <v>1.1950000000000001</v>
      </c>
      <c r="Z8" s="2">
        <v>5.53024</v>
      </c>
      <c r="AA8" s="2">
        <v>16.86</v>
      </c>
    </row>
    <row r="9" spans="1:28" ht="16.5" thickTop="1" x14ac:dyDescent="0.25">
      <c r="B9" s="20">
        <f>B7*9.80665</f>
        <v>343232.75</v>
      </c>
      <c r="C9" s="71">
        <f>IFERROR(C7*1000/B9,0)</f>
        <v>1.0001959311866364</v>
      </c>
      <c r="D9" s="20">
        <f>C7*1000*B9</f>
        <v>117831803075</v>
      </c>
      <c r="E9" s="20">
        <f>IFERROR(D9/C9,0)</f>
        <v>117808720672.5625</v>
      </c>
      <c r="G9" s="75">
        <f>SUM(B16:E16)</f>
        <v>1.0001959311866364</v>
      </c>
      <c r="H9" s="70" t="str">
        <f>IF($C$9&gt;$G$9,"Input excesive",IF($C$9&lt;$G$9,"Output excessive","Equal"))</f>
        <v>Equal</v>
      </c>
      <c r="L9" s="2" t="s">
        <v>29</v>
      </c>
      <c r="M9" s="2">
        <v>1.5</v>
      </c>
      <c r="N9" s="71">
        <f>IFERROR(C7*1000/M9/B9,0)</f>
        <v>0.66679728745775757</v>
      </c>
      <c r="V9" s="2">
        <v>5</v>
      </c>
      <c r="W9" s="2">
        <v>8.86111</v>
      </c>
      <c r="X9" s="5">
        <v>1.9139999999999999</v>
      </c>
      <c r="Z9" s="2">
        <v>8.8562499999999993</v>
      </c>
      <c r="AA9" s="2">
        <v>27</v>
      </c>
    </row>
    <row r="10" spans="1:28" s="67" customFormat="1" x14ac:dyDescent="0.25">
      <c r="L10" s="2" t="s">
        <v>30</v>
      </c>
      <c r="M10" s="2">
        <v>1.2</v>
      </c>
      <c r="N10" s="71">
        <f>IFERROR(C7*1000/M10/B9,0)</f>
        <v>0.83349660932219716</v>
      </c>
      <c r="O10" s="2"/>
      <c r="T10" s="5"/>
      <c r="V10" s="2">
        <v>6</v>
      </c>
      <c r="W10" s="2">
        <v>12.9213</v>
      </c>
      <c r="X10" s="2">
        <v>2.7909999999999999</v>
      </c>
      <c r="Y10" s="2"/>
      <c r="Z10" s="2">
        <v>12.9236</v>
      </c>
      <c r="AA10" s="2">
        <v>39.4</v>
      </c>
      <c r="AB10" s="2"/>
    </row>
    <row r="11" spans="1:28" x14ac:dyDescent="0.25">
      <c r="A11" s="67"/>
      <c r="B11" s="67"/>
      <c r="C11" s="67"/>
      <c r="D11" s="67"/>
      <c r="E11" s="67"/>
      <c r="G11" s="67"/>
      <c r="H11" s="67"/>
      <c r="I11" s="67"/>
      <c r="L11" s="2" t="s">
        <v>52</v>
      </c>
      <c r="M11" s="2">
        <v>3.7</v>
      </c>
      <c r="N11" s="71">
        <f>IFERROR(C7*1000/M11/B9,0)</f>
        <v>0.27032322464503683</v>
      </c>
      <c r="V11" s="2">
        <v>7</v>
      </c>
      <c r="W11" s="2">
        <v>17.708300000000001</v>
      </c>
      <c r="X11" s="2">
        <v>3.8250000000000002</v>
      </c>
      <c r="Z11" s="2">
        <v>17.712499999999999</v>
      </c>
      <c r="AA11" s="2">
        <v>54</v>
      </c>
    </row>
    <row r="12" spans="1:28" ht="16.5" thickBot="1" x14ac:dyDescent="0.3">
      <c r="A12" s="72" t="s">
        <v>65</v>
      </c>
      <c r="B12" s="17"/>
      <c r="C12" s="17">
        <v>1</v>
      </c>
      <c r="D12" s="16"/>
      <c r="E12" s="17"/>
      <c r="G12" s="76" t="s">
        <v>88</v>
      </c>
      <c r="H12" s="76" t="s">
        <v>91</v>
      </c>
      <c r="I12" s="76" t="s">
        <v>92</v>
      </c>
      <c r="L12" s="2" t="s">
        <v>53</v>
      </c>
      <c r="M12" s="2">
        <v>1.33</v>
      </c>
      <c r="N12" s="71">
        <f>IFERROR(C7*1000/M12/B9,0)</f>
        <v>0.75202701592980181</v>
      </c>
      <c r="V12" s="2">
        <v>8</v>
      </c>
      <c r="W12" s="2">
        <v>23.25</v>
      </c>
      <c r="X12" s="2">
        <v>5.0220000000000002</v>
      </c>
      <c r="Z12" s="2">
        <v>23.2559</v>
      </c>
      <c r="AA12" s="2">
        <v>70.900000000000006</v>
      </c>
    </row>
    <row r="13" spans="1:28" x14ac:dyDescent="0.25">
      <c r="A13" s="1" t="s">
        <v>64</v>
      </c>
      <c r="B13" s="14" t="s">
        <v>52</v>
      </c>
      <c r="C13" s="14" t="s">
        <v>76</v>
      </c>
      <c r="D13" s="14"/>
      <c r="E13" s="66" t="s">
        <v>32</v>
      </c>
      <c r="G13" s="77">
        <f>IFERROR(E15/I13,"-")</f>
        <v>0</v>
      </c>
      <c r="H13" s="78" t="str">
        <f>IFERROR(E12/G13,"-")</f>
        <v>-</v>
      </c>
      <c r="I13" s="79">
        <v>200</v>
      </c>
      <c r="L13" s="31"/>
      <c r="M13" s="31"/>
      <c r="N13" s="31"/>
      <c r="O13" s="31"/>
      <c r="P13" s="31"/>
      <c r="Q13" s="31"/>
      <c r="R13" s="31"/>
    </row>
    <row r="14" spans="1:28" ht="16.5" thickBot="1" x14ac:dyDescent="0.3">
      <c r="A14" s="1" t="s">
        <v>24</v>
      </c>
      <c r="B14" s="9">
        <f>IFERROR(VLOOKUP(B13,Database!$A$2:$B$56,2,0),"-")</f>
        <v>0.35399999999999998</v>
      </c>
      <c r="C14" s="9">
        <f>IFERROR(VLOOKUP(C13,Database!$A$2:$B$56,2,0),"-")</f>
        <v>0.216</v>
      </c>
      <c r="D14" s="9" t="str">
        <f>IFERROR(VLOOKUP(D13,Database!$A$2:$B$56,2,0),"-")</f>
        <v>-</v>
      </c>
      <c r="E14" s="10">
        <v>0</v>
      </c>
      <c r="L14" s="31"/>
      <c r="M14" s="31" t="s">
        <v>230</v>
      </c>
      <c r="N14" s="31"/>
      <c r="O14" s="31"/>
      <c r="P14" s="31" t="s">
        <v>231</v>
      </c>
      <c r="Q14" s="31"/>
      <c r="R14" s="31" t="s">
        <v>232</v>
      </c>
    </row>
    <row r="15" spans="1:28" ht="16.5" thickTop="1" x14ac:dyDescent="0.25">
      <c r="A15" s="72" t="s">
        <v>73</v>
      </c>
      <c r="B15" s="75">
        <f>IFERROR(C9*B12/SUM(B17:D17),"-")</f>
        <v>0</v>
      </c>
      <c r="C15" s="75">
        <f>IFERROR(C9*C12/SUM(B17:D17),"-")</f>
        <v>4.6305367184566499</v>
      </c>
      <c r="D15" s="75">
        <f>IFERROR(C9*D12/SUM(B17:D17),"-")</f>
        <v>0</v>
      </c>
      <c r="E15" s="75">
        <f>IFERROR(C9*E12/SUM(B17:D17),0)</f>
        <v>0</v>
      </c>
      <c r="L15" s="31"/>
      <c r="M15" s="22">
        <v>2080</v>
      </c>
      <c r="N15" s="5"/>
      <c r="O15" s="5"/>
      <c r="P15" s="22">
        <v>2100</v>
      </c>
      <c r="Q15" s="31"/>
      <c r="R15" s="31"/>
      <c r="W15" s="2" t="s">
        <v>236</v>
      </c>
      <c r="X15" s="2" t="s">
        <v>132</v>
      </c>
      <c r="Z15" s="2" t="s">
        <v>236</v>
      </c>
      <c r="AA15" s="2" t="s">
        <v>132</v>
      </c>
    </row>
    <row r="16" spans="1:28" x14ac:dyDescent="0.25">
      <c r="A16" s="2" t="s">
        <v>70</v>
      </c>
      <c r="B16" s="70">
        <f>IFERROR($B$14*$B$15,"-")</f>
        <v>0</v>
      </c>
      <c r="C16" s="70">
        <f t="shared" ref="C16:D16" si="0">IFERROR(C14*C15,"-")</f>
        <v>1.0001959311866364</v>
      </c>
      <c r="D16" s="70" t="str">
        <f t="shared" si="0"/>
        <v>-</v>
      </c>
      <c r="E16" s="70">
        <f>E14*E15</f>
        <v>0</v>
      </c>
      <c r="F16" s="2">
        <f>SUM(B16:D16)</f>
        <v>1.0001959311866364</v>
      </c>
      <c r="L16" s="31"/>
      <c r="M16" s="5"/>
      <c r="N16" s="5"/>
      <c r="O16" s="5"/>
      <c r="P16" s="5"/>
      <c r="Q16" s="31"/>
      <c r="R16" s="31"/>
      <c r="S16" s="65">
        <v>0.1</v>
      </c>
      <c r="X16" s="2" t="s">
        <v>52</v>
      </c>
      <c r="AA16" s="2" t="s">
        <v>198</v>
      </c>
    </row>
    <row r="17" spans="1:28" x14ac:dyDescent="0.25">
      <c r="A17" s="2" t="s">
        <v>71</v>
      </c>
      <c r="B17" s="70">
        <f>IFERROR(B12*B14,"-")</f>
        <v>0</v>
      </c>
      <c r="C17" s="70">
        <f t="shared" ref="C17:D17" si="1">IFERROR(C12*C14,"-")</f>
        <v>0.216</v>
      </c>
      <c r="D17" s="70" t="str">
        <f t="shared" si="1"/>
        <v>-</v>
      </c>
      <c r="E17" s="70"/>
      <c r="F17" s="2">
        <f>B16/C16</f>
        <v>0</v>
      </c>
      <c r="L17" s="31" t="s">
        <v>158</v>
      </c>
      <c r="M17" s="80">
        <f>N17*$O$17</f>
        <v>2080</v>
      </c>
      <c r="N17" s="31">
        <v>800</v>
      </c>
      <c r="O17" s="21">
        <f>($M$15/N17)</f>
        <v>2.6</v>
      </c>
      <c r="P17" s="80">
        <f>$P$15*Q17</f>
        <v>2100</v>
      </c>
      <c r="Q17" s="31">
        <v>1</v>
      </c>
      <c r="R17" s="31">
        <v>1E-4</v>
      </c>
      <c r="S17" s="19">
        <f>$S$16*R17</f>
        <v>1.0000000000000001E-5</v>
      </c>
      <c r="V17" s="2">
        <v>1</v>
      </c>
      <c r="W17" s="2">
        <v>0</v>
      </c>
      <c r="X17" s="2">
        <v>0</v>
      </c>
      <c r="Z17" s="2">
        <v>0</v>
      </c>
      <c r="AA17" s="2">
        <v>0</v>
      </c>
    </row>
    <row r="18" spans="1:28" x14ac:dyDescent="0.25">
      <c r="A18" s="5"/>
      <c r="F18" s="2" t="e">
        <f>B12/F17</f>
        <v>#DIV/0!</v>
      </c>
      <c r="G18" s="67"/>
      <c r="H18" s="67"/>
      <c r="I18" s="67"/>
      <c r="L18" s="31" t="s">
        <v>128</v>
      </c>
      <c r="M18" s="80">
        <f>N18*$O$17</f>
        <v>657.80000000000007</v>
      </c>
      <c r="N18" s="31">
        <v>253</v>
      </c>
      <c r="O18" s="5"/>
      <c r="P18" s="80">
        <f>$P$15*Q18</f>
        <v>4977</v>
      </c>
      <c r="Q18" s="31">
        <v>2.37</v>
      </c>
      <c r="R18" s="31">
        <v>1.4672099999999999E-4</v>
      </c>
      <c r="S18" s="19">
        <f>$S$16*R18</f>
        <v>1.46721E-5</v>
      </c>
      <c r="V18" s="2">
        <v>2</v>
      </c>
      <c r="W18" s="2">
        <v>1</v>
      </c>
      <c r="X18" s="84">
        <v>0.61019999999999996</v>
      </c>
      <c r="Z18" s="2">
        <v>1</v>
      </c>
      <c r="AA18" s="84">
        <v>4.3200000000000002E-2</v>
      </c>
    </row>
    <row r="19" spans="1:28" x14ac:dyDescent="0.25">
      <c r="L19" s="31" t="s">
        <v>121</v>
      </c>
      <c r="M19" s="80">
        <f>N19*$O$17</f>
        <v>1040</v>
      </c>
      <c r="N19" s="31">
        <v>400</v>
      </c>
      <c r="O19" s="5"/>
      <c r="P19" s="80">
        <f>$P$15*Q19</f>
        <v>3528</v>
      </c>
      <c r="Q19" s="31">
        <v>1.68</v>
      </c>
      <c r="R19" s="31">
        <v>2.9090700000000003E-4</v>
      </c>
      <c r="S19" s="19">
        <f>$S$16*R19</f>
        <v>2.9090700000000003E-5</v>
      </c>
      <c r="V19" s="2">
        <v>3</v>
      </c>
      <c r="W19" s="2">
        <v>2.95</v>
      </c>
      <c r="X19" s="84">
        <f>$X$18*W19</f>
        <v>1.80009</v>
      </c>
      <c r="Z19" s="2">
        <v>2.95</v>
      </c>
      <c r="AA19" s="84">
        <f>$AA$18*W19</f>
        <v>0.12744000000000003</v>
      </c>
    </row>
    <row r="20" spans="1:28" x14ac:dyDescent="0.25">
      <c r="L20" s="31" t="s">
        <v>165</v>
      </c>
      <c r="M20" s="80">
        <f>N20*$O$17</f>
        <v>657.80000000000007</v>
      </c>
      <c r="N20" s="31">
        <v>253</v>
      </c>
      <c r="O20" s="5"/>
      <c r="P20" s="80">
        <f>$P$15*Q20</f>
        <v>4977</v>
      </c>
      <c r="Q20" s="31">
        <v>2.37</v>
      </c>
      <c r="R20" s="31">
        <v>1.53485E-4</v>
      </c>
      <c r="S20" s="19">
        <f>$S$16*R20</f>
        <v>1.5348500000000001E-5</v>
      </c>
      <c r="V20" s="5">
        <v>4</v>
      </c>
      <c r="W20" s="39">
        <v>5.53</v>
      </c>
      <c r="X20" s="84">
        <f>$X$18*W20</f>
        <v>3.374406</v>
      </c>
      <c r="Y20" s="39"/>
      <c r="Z20" s="39"/>
      <c r="AA20" s="84">
        <f>$AA$18*W20</f>
        <v>0.23889600000000002</v>
      </c>
      <c r="AB20" s="39"/>
    </row>
    <row r="21" spans="1:28" x14ac:dyDescent="0.25">
      <c r="A21" s="5" t="s">
        <v>35</v>
      </c>
      <c r="B21" s="2" t="s">
        <v>214</v>
      </c>
      <c r="C21" s="2" t="s">
        <v>208</v>
      </c>
      <c r="D21" s="5"/>
      <c r="E21" s="5"/>
      <c r="F21" s="5"/>
      <c r="L21" s="31" t="s">
        <v>163</v>
      </c>
      <c r="M21" s="80">
        <f>N21*$O$17</f>
        <v>1575.6000000000001</v>
      </c>
      <c r="N21" s="31">
        <v>606</v>
      </c>
      <c r="O21" s="5"/>
      <c r="P21" s="80">
        <f>$P$15*Q21</f>
        <v>2583</v>
      </c>
      <c r="Q21" s="31">
        <v>1.23</v>
      </c>
      <c r="R21" s="31">
        <v>3.6680399999999998E-4</v>
      </c>
      <c r="S21" s="19">
        <f>$S$16*R21</f>
        <v>3.6680400000000002E-5</v>
      </c>
      <c r="V21" s="2">
        <v>5</v>
      </c>
      <c r="W21" s="31">
        <v>8.86</v>
      </c>
      <c r="X21" s="84">
        <f>$X$18*W21</f>
        <v>5.4063719999999993</v>
      </c>
      <c r="Y21" s="31"/>
      <c r="Z21" s="31"/>
      <c r="AA21" s="84">
        <f>$AA$18*W21</f>
        <v>0.38275199999999998</v>
      </c>
      <c r="AB21" s="31"/>
    </row>
    <row r="22" spans="1:28" x14ac:dyDescent="0.25">
      <c r="A22" s="72" t="s">
        <v>66</v>
      </c>
      <c r="B22" s="23">
        <v>35000</v>
      </c>
      <c r="C22" s="23">
        <v>350</v>
      </c>
      <c r="D22" s="5"/>
      <c r="E22" s="5"/>
      <c r="F22" s="5"/>
      <c r="L22" s="31" t="s">
        <v>126</v>
      </c>
      <c r="M22" s="80">
        <f>N22*$O$17</f>
        <v>735.80000000000007</v>
      </c>
      <c r="N22" s="31">
        <v>283</v>
      </c>
      <c r="O22" s="5"/>
      <c r="P22" s="80">
        <f>$P$15*Q22</f>
        <v>4578</v>
      </c>
      <c r="Q22" s="31">
        <v>2.1800000000000002</v>
      </c>
      <c r="R22" s="31">
        <v>2.6534900000000001E-4</v>
      </c>
      <c r="S22" s="19">
        <f>$S$16*R22</f>
        <v>2.6534900000000002E-5</v>
      </c>
      <c r="V22" s="2">
        <v>6</v>
      </c>
      <c r="W22" s="31">
        <v>12.92</v>
      </c>
      <c r="X22" s="84">
        <f>$X$18*W22</f>
        <v>7.8837839999999995</v>
      </c>
      <c r="Y22" s="31"/>
      <c r="Z22" s="31"/>
      <c r="AA22" s="84">
        <f>$AA$18*W22</f>
        <v>0.55814399999999997</v>
      </c>
      <c r="AB22" s="31"/>
    </row>
    <row r="23" spans="1:28" ht="18" thickBot="1" x14ac:dyDescent="0.35">
      <c r="A23" s="2" t="s">
        <v>36</v>
      </c>
      <c r="B23" s="2" t="s">
        <v>3</v>
      </c>
      <c r="C23" s="2" t="s">
        <v>22</v>
      </c>
      <c r="D23" s="5" t="s">
        <v>33</v>
      </c>
      <c r="E23" s="5" t="s">
        <v>102</v>
      </c>
      <c r="G23" s="74" t="s">
        <v>72</v>
      </c>
      <c r="H23" s="74"/>
      <c r="L23" s="31" t="s">
        <v>191</v>
      </c>
      <c r="M23" s="80">
        <f>N23*$O$17</f>
        <v>962</v>
      </c>
      <c r="N23" s="31">
        <v>370</v>
      </c>
      <c r="O23" s="5"/>
      <c r="P23" s="80">
        <f>$P$15*Q23</f>
        <v>3738</v>
      </c>
      <c r="Q23" s="31">
        <v>1.78</v>
      </c>
      <c r="R23" s="31">
        <v>3.6195500000000001E-4</v>
      </c>
      <c r="S23" s="19">
        <f>$S$16*R23</f>
        <v>3.6195500000000003E-5</v>
      </c>
      <c r="V23" s="2">
        <v>7</v>
      </c>
      <c r="W23" s="31">
        <v>17.7</v>
      </c>
      <c r="X23" s="84">
        <f>$X$18*W23</f>
        <v>10.80054</v>
      </c>
      <c r="Y23" s="31"/>
      <c r="Z23" s="31"/>
      <c r="AA23" s="84">
        <f>$AA$18*W23</f>
        <v>0.76463999999999999</v>
      </c>
      <c r="AB23" s="31"/>
    </row>
    <row r="24" spans="1:28" ht="16.5" thickTop="1" x14ac:dyDescent="0.25">
      <c r="B24" s="20">
        <f>B22*9.80665</f>
        <v>343232.75</v>
      </c>
      <c r="C24" s="71">
        <f>IFERROR(C22*1000/B24,0)</f>
        <v>1.0197162129779282</v>
      </c>
      <c r="D24" s="20">
        <f>C22*1000*B24</f>
        <v>120131462500</v>
      </c>
      <c r="E24" s="20">
        <f>IFERROR(D24/C24,0)</f>
        <v>117808720672.5625</v>
      </c>
      <c r="G24" s="75">
        <f>SUM(B31:E31)</f>
        <v>1.0197162129779282</v>
      </c>
      <c r="H24" s="70" t="str">
        <f>IF($C$9&gt;$G$9,"Input excesive",IF($C$9&lt;$G$9,"Output excessive","Equal"))</f>
        <v>Equal</v>
      </c>
      <c r="V24" s="2">
        <v>8</v>
      </c>
      <c r="W24" s="5">
        <v>23.25</v>
      </c>
      <c r="X24" s="84">
        <f>$X$18*W24</f>
        <v>14.187149999999999</v>
      </c>
      <c r="Y24" s="5"/>
      <c r="Z24" s="5"/>
      <c r="AA24" s="84">
        <f>$AA$18*W24</f>
        <v>1.0044</v>
      </c>
    </row>
    <row r="25" spans="1:28" x14ac:dyDescent="0.25">
      <c r="A25" s="67"/>
      <c r="B25" s="67"/>
      <c r="C25" s="67"/>
      <c r="D25" s="67"/>
      <c r="E25" s="67"/>
      <c r="F25" s="67"/>
      <c r="G25" s="67"/>
      <c r="H25" s="67"/>
      <c r="I25" s="67"/>
      <c r="J25" s="67"/>
    </row>
    <row r="26" spans="1:28" x14ac:dyDescent="0.25">
      <c r="A26" s="67"/>
      <c r="B26" s="67"/>
      <c r="C26" s="67"/>
      <c r="D26" s="67"/>
      <c r="E26" s="67"/>
      <c r="G26" s="67"/>
      <c r="H26" s="67"/>
      <c r="I26" s="67"/>
      <c r="J26" s="67"/>
    </row>
    <row r="27" spans="1:28" ht="16.5" thickBot="1" x14ac:dyDescent="0.3">
      <c r="A27" s="72" t="s">
        <v>65</v>
      </c>
      <c r="B27" s="17"/>
      <c r="C27" s="17">
        <v>0.90949999999999998</v>
      </c>
      <c r="D27" s="86">
        <f>C27/10</f>
        <v>9.0950000000000003E-2</v>
      </c>
      <c r="E27" s="17"/>
      <c r="G27" s="76" t="s">
        <v>88</v>
      </c>
      <c r="H27" s="76" t="s">
        <v>91</v>
      </c>
      <c r="I27" s="76" t="s">
        <v>92</v>
      </c>
      <c r="J27" s="67"/>
    </row>
    <row r="28" spans="1:28" x14ac:dyDescent="0.25">
      <c r="A28" s="1" t="s">
        <v>64</v>
      </c>
      <c r="B28" s="14" t="s">
        <v>78</v>
      </c>
      <c r="C28" s="14" t="s">
        <v>52</v>
      </c>
      <c r="D28" s="14" t="s">
        <v>57</v>
      </c>
      <c r="E28" s="66" t="s">
        <v>32</v>
      </c>
      <c r="G28" s="77">
        <f>IFERROR(E30/I28,"-")</f>
        <v>0</v>
      </c>
      <c r="H28" s="78" t="str">
        <f>IFERROR(E27/G28,"-")</f>
        <v>-</v>
      </c>
      <c r="I28" s="79">
        <v>200</v>
      </c>
      <c r="J28" s="67"/>
    </row>
    <row r="29" spans="1:28" ht="16.5" thickBot="1" x14ac:dyDescent="0.3">
      <c r="A29" s="1" t="s">
        <v>24</v>
      </c>
      <c r="B29" s="9">
        <f>IFERROR(VLOOKUP(B28,Database!$A$2:$B$56,2,0),"-")</f>
        <v>5</v>
      </c>
      <c r="C29" s="9">
        <f>IFERROR(VLOOKUP(C28,Database!$A$2:$B$56,2,0),"-")</f>
        <v>0.35399999999999998</v>
      </c>
      <c r="D29" s="9">
        <f>IFERROR(VLOOKUP(D28,Database!$A$2:$B$56,2,0),"-")</f>
        <v>5</v>
      </c>
      <c r="E29" s="10">
        <v>0</v>
      </c>
      <c r="J29" s="67"/>
    </row>
    <row r="30" spans="1:28" ht="16.5" thickTop="1" x14ac:dyDescent="0.25">
      <c r="A30" s="72" t="s">
        <v>73</v>
      </c>
      <c r="B30" s="75">
        <f>IFERROR(C24*B27/SUM(B32:D32),"-")</f>
        <v>0</v>
      </c>
      <c r="C30" s="75">
        <f>IFERROR(C24*C27/SUM(B32:D32),"-")</f>
        <v>1.1940470877961689</v>
      </c>
      <c r="D30" s="75">
        <f>IFERROR(C24*D27/SUM(B32:D32),"-")</f>
        <v>0.1194047087796169</v>
      </c>
      <c r="E30" s="75">
        <f>IFERROR(C24*E27/SUM(B32:D32),0)</f>
        <v>0</v>
      </c>
      <c r="J30" s="67"/>
    </row>
    <row r="31" spans="1:28" x14ac:dyDescent="0.25">
      <c r="A31" s="2" t="s">
        <v>70</v>
      </c>
      <c r="B31" s="70">
        <f>IFERROR($B$29*$B$30,"-")</f>
        <v>0</v>
      </c>
      <c r="C31" s="70">
        <f t="shared" ref="C31:D31" si="2">IFERROR(C29*C30,"-")</f>
        <v>0.42269266907984376</v>
      </c>
      <c r="D31" s="70">
        <f t="shared" si="2"/>
        <v>0.59702354389808443</v>
      </c>
      <c r="E31" s="70">
        <f>E29*E30</f>
        <v>0</v>
      </c>
      <c r="F31" s="2">
        <f>SUM(B31:D31)</f>
        <v>1.0197162129779282</v>
      </c>
      <c r="J31" s="67"/>
    </row>
    <row r="32" spans="1:28" x14ac:dyDescent="0.25">
      <c r="A32" s="2" t="s">
        <v>71</v>
      </c>
      <c r="B32" s="70">
        <f>IFERROR(B27*B29,"-")</f>
        <v>0</v>
      </c>
      <c r="C32" s="70">
        <f t="shared" ref="C32:D32" si="3">IFERROR(C27*C29,"-")</f>
        <v>0.321963</v>
      </c>
      <c r="D32" s="70">
        <f t="shared" si="3"/>
        <v>0.45474999999999999</v>
      </c>
      <c r="E32" s="70"/>
      <c r="F32" s="2">
        <f>B31/C31</f>
        <v>0</v>
      </c>
      <c r="H32" s="85">
        <f>C27+D27</f>
        <v>1.0004500000000001</v>
      </c>
      <c r="J32" s="67"/>
    </row>
    <row r="33" spans="1:10" x14ac:dyDescent="0.25">
      <c r="A33" s="5"/>
      <c r="F33" s="2" t="e">
        <f>B27/F32</f>
        <v>#DIV/0!</v>
      </c>
      <c r="G33" s="67"/>
      <c r="H33" s="67"/>
      <c r="I33" s="67"/>
      <c r="J33" s="67"/>
    </row>
    <row r="34" spans="1:10" x14ac:dyDescent="0.25">
      <c r="D34" s="2">
        <f>0.143/C30</f>
        <v>0.11976077113</v>
      </c>
      <c r="J34" s="67"/>
    </row>
    <row r="35" spans="1:10" x14ac:dyDescent="0.25">
      <c r="D35" s="6">
        <f>C27*D34</f>
        <v>0.108922421342735</v>
      </c>
      <c r="J35" s="67"/>
    </row>
    <row r="36" spans="1:10" x14ac:dyDescent="0.25">
      <c r="J36" s="67"/>
    </row>
    <row r="37" spans="1:10" x14ac:dyDescent="0.25">
      <c r="A37" s="67"/>
      <c r="B37" s="67"/>
      <c r="C37" s="67"/>
      <c r="D37" s="67"/>
      <c r="E37" s="67"/>
      <c r="F37" s="67"/>
      <c r="G37" s="67"/>
      <c r="H37" s="67"/>
      <c r="I37" s="67"/>
      <c r="J37" s="67"/>
    </row>
    <row r="38" spans="1:10" x14ac:dyDescent="0.25">
      <c r="A38" s="67"/>
      <c r="B38" s="67"/>
      <c r="C38" s="67"/>
      <c r="D38" s="67"/>
      <c r="E38" s="67"/>
      <c r="F38" s="67"/>
      <c r="G38" s="67"/>
      <c r="H38" s="67"/>
      <c r="I38" s="67"/>
      <c r="J38" s="67"/>
    </row>
    <row r="39" spans="1:10" x14ac:dyDescent="0.25">
      <c r="A39" s="67"/>
      <c r="B39" s="67"/>
      <c r="C39" s="67"/>
      <c r="D39" s="67"/>
      <c r="E39" s="67"/>
      <c r="F39" s="67"/>
      <c r="G39" s="67"/>
      <c r="H39" s="67"/>
      <c r="I39" s="67"/>
      <c r="J39" s="67"/>
    </row>
    <row r="40" spans="1:10" x14ac:dyDescent="0.25">
      <c r="A40" s="67"/>
      <c r="B40" s="67"/>
      <c r="C40" s="67"/>
      <c r="D40" s="67"/>
      <c r="E40" s="67"/>
      <c r="F40" s="67"/>
      <c r="G40" s="67"/>
      <c r="H40" s="67"/>
      <c r="I40" s="67"/>
      <c r="J40" s="67"/>
    </row>
    <row r="41" spans="1:10" x14ac:dyDescent="0.25">
      <c r="A41" s="67"/>
      <c r="B41" s="67"/>
      <c r="C41" s="67"/>
      <c r="D41" s="67"/>
      <c r="E41" s="67"/>
      <c r="F41" s="67"/>
      <c r="G41" s="67"/>
      <c r="H41" s="67"/>
      <c r="I41" s="67"/>
      <c r="J41" s="67"/>
    </row>
    <row r="42" spans="1:10" x14ac:dyDescent="0.25">
      <c r="A42" s="67"/>
      <c r="B42" s="67"/>
      <c r="C42" s="67"/>
      <c r="D42" s="67"/>
      <c r="E42" s="67"/>
      <c r="F42" s="67"/>
      <c r="G42" s="67"/>
      <c r="H42" s="67"/>
      <c r="I42" s="67"/>
      <c r="J42" s="67"/>
    </row>
    <row r="43" spans="1:10" x14ac:dyDescent="0.25">
      <c r="A43" s="67"/>
      <c r="B43" s="67"/>
      <c r="C43" s="67"/>
      <c r="D43" s="67"/>
      <c r="E43" s="67"/>
      <c r="F43" s="67"/>
      <c r="G43" s="67"/>
      <c r="H43" s="67"/>
      <c r="I43" s="67"/>
      <c r="J43" s="67"/>
    </row>
    <row r="44" spans="1:10" x14ac:dyDescent="0.25">
      <c r="A44" s="67"/>
      <c r="B44" s="67"/>
      <c r="C44" s="67"/>
      <c r="D44" s="67"/>
      <c r="E44" s="67"/>
      <c r="F44" s="67"/>
      <c r="G44" s="67"/>
      <c r="H44" s="67"/>
      <c r="I44" s="67"/>
      <c r="J44" s="67"/>
    </row>
    <row r="45" spans="1:10" x14ac:dyDescent="0.25">
      <c r="A45" s="67"/>
      <c r="B45" s="67"/>
      <c r="C45" s="67"/>
      <c r="D45" s="67"/>
      <c r="E45" s="67"/>
      <c r="F45" s="67"/>
      <c r="G45" s="67"/>
      <c r="H45" s="67"/>
      <c r="I45" s="67"/>
      <c r="J45" s="67"/>
    </row>
    <row r="46" spans="1:10" x14ac:dyDescent="0.25">
      <c r="A46" s="67"/>
      <c r="B46" s="67"/>
      <c r="C46" s="67"/>
      <c r="D46" s="67"/>
      <c r="E46" s="67"/>
      <c r="F46" s="67"/>
      <c r="G46" s="67"/>
      <c r="H46" s="67"/>
      <c r="I46" s="67"/>
      <c r="J46" s="67"/>
    </row>
    <row r="47" spans="1:10" x14ac:dyDescent="0.25">
      <c r="A47" s="67"/>
      <c r="B47" s="67"/>
      <c r="C47" s="67"/>
      <c r="D47" s="67"/>
      <c r="E47" s="67"/>
      <c r="F47" s="67"/>
      <c r="G47" s="67"/>
      <c r="H47" s="67"/>
      <c r="I47" s="67"/>
      <c r="J47" s="67"/>
    </row>
    <row r="48" spans="1:10" x14ac:dyDescent="0.25">
      <c r="A48" s="67"/>
      <c r="B48" s="67"/>
      <c r="C48" s="67"/>
      <c r="D48" s="67"/>
      <c r="E48" s="67"/>
      <c r="F48" s="67"/>
      <c r="G48" s="67"/>
      <c r="H48" s="67"/>
      <c r="I48" s="67"/>
      <c r="J48" s="67"/>
    </row>
    <row r="49" spans="1:10" x14ac:dyDescent="0.25">
      <c r="A49" s="67"/>
      <c r="B49" s="67"/>
      <c r="C49" s="67"/>
      <c r="D49" s="67"/>
      <c r="E49" s="67"/>
      <c r="F49" s="67"/>
      <c r="G49" s="67"/>
      <c r="H49" s="67"/>
      <c r="I49" s="67"/>
      <c r="J49" s="67"/>
    </row>
    <row r="50" spans="1:10" x14ac:dyDescent="0.25">
      <c r="A50" s="67"/>
      <c r="B50" s="67"/>
      <c r="C50" s="67"/>
      <c r="D50" s="67"/>
      <c r="E50" s="67"/>
      <c r="F50" s="67"/>
      <c r="G50" s="67"/>
      <c r="H50" s="67"/>
      <c r="I50" s="67"/>
      <c r="J50" s="67"/>
    </row>
    <row r="51" spans="1:10" x14ac:dyDescent="0.25">
      <c r="A51" s="67"/>
      <c r="B51" s="67"/>
      <c r="C51" s="67"/>
      <c r="D51" s="67"/>
      <c r="E51" s="67"/>
      <c r="F51" s="67"/>
      <c r="G51" s="67"/>
      <c r="H51" s="67"/>
      <c r="I51" s="67"/>
      <c r="J51" s="67"/>
    </row>
    <row r="52" spans="1:10" x14ac:dyDescent="0.25">
      <c r="A52" s="67"/>
      <c r="B52" s="67"/>
      <c r="C52" s="67"/>
      <c r="D52" s="67"/>
      <c r="E52" s="67"/>
      <c r="F52" s="67"/>
      <c r="G52" s="67"/>
      <c r="H52" s="67"/>
      <c r="I52" s="67"/>
      <c r="J52" s="67"/>
    </row>
    <row r="53" spans="1:10" x14ac:dyDescent="0.25">
      <c r="A53" s="67"/>
      <c r="B53" s="67"/>
      <c r="C53" s="67"/>
      <c r="D53" s="67"/>
      <c r="E53" s="67"/>
      <c r="F53" s="67"/>
      <c r="G53" s="67"/>
      <c r="H53" s="67"/>
      <c r="I53" s="67"/>
      <c r="J53" s="67"/>
    </row>
    <row r="54" spans="1:10" x14ac:dyDescent="0.25">
      <c r="A54" s="67"/>
      <c r="B54" s="67"/>
      <c r="C54" s="67"/>
      <c r="D54" s="67"/>
      <c r="E54" s="67"/>
      <c r="F54" s="67"/>
      <c r="G54" s="67"/>
      <c r="H54" s="67"/>
      <c r="I54" s="67"/>
      <c r="J54" s="67"/>
    </row>
    <row r="55" spans="1:10" x14ac:dyDescent="0.25">
      <c r="A55" s="67"/>
      <c r="B55" s="67"/>
      <c r="C55" s="67"/>
      <c r="D55" s="67"/>
      <c r="E55" s="67"/>
      <c r="F55" s="67"/>
      <c r="G55" s="67"/>
      <c r="H55" s="67"/>
      <c r="I55" s="67"/>
      <c r="J55" s="67"/>
    </row>
    <row r="56" spans="1:10" x14ac:dyDescent="0.25">
      <c r="A56" s="67"/>
      <c r="B56" s="67"/>
      <c r="C56" s="67"/>
      <c r="D56" s="67"/>
      <c r="E56" s="67"/>
      <c r="F56" s="67"/>
      <c r="G56" s="67"/>
      <c r="H56" s="67"/>
      <c r="I56" s="67"/>
      <c r="J56" s="67"/>
    </row>
    <row r="57" spans="1:10" x14ac:dyDescent="0.25">
      <c r="A57" s="67"/>
      <c r="B57" s="67"/>
      <c r="C57" s="67"/>
      <c r="D57" s="67"/>
      <c r="E57" s="67"/>
      <c r="F57" s="67"/>
      <c r="G57" s="67"/>
      <c r="H57" s="67"/>
      <c r="I57" s="67"/>
      <c r="J57" s="67"/>
    </row>
    <row r="58" spans="1:10" x14ac:dyDescent="0.25">
      <c r="A58" s="67"/>
      <c r="B58" s="67"/>
      <c r="C58" s="67"/>
      <c r="D58" s="67"/>
      <c r="E58" s="67"/>
      <c r="F58" s="67"/>
      <c r="G58" s="67"/>
      <c r="H58" s="67"/>
      <c r="I58" s="67"/>
      <c r="J58" s="67"/>
    </row>
    <row r="59" spans="1:10" x14ac:dyDescent="0.25">
      <c r="A59" s="67"/>
      <c r="B59" s="67"/>
      <c r="C59" s="67"/>
      <c r="D59" s="67"/>
      <c r="E59" s="67"/>
      <c r="F59" s="67"/>
      <c r="G59" s="67"/>
      <c r="H59" s="67"/>
      <c r="I59" s="67"/>
      <c r="J59" s="67"/>
    </row>
    <row r="60" spans="1:10" x14ac:dyDescent="0.25">
      <c r="A60" s="67"/>
      <c r="B60" s="67"/>
      <c r="C60" s="67"/>
      <c r="D60" s="67"/>
      <c r="E60" s="67"/>
      <c r="F60" s="67"/>
      <c r="G60" s="67"/>
      <c r="H60" s="67"/>
      <c r="I60" s="67"/>
      <c r="J60" s="67"/>
    </row>
    <row r="61" spans="1:10" x14ac:dyDescent="0.25">
      <c r="A61" s="67"/>
      <c r="B61" s="67"/>
      <c r="C61" s="67"/>
      <c r="D61" s="67"/>
      <c r="E61" s="67"/>
      <c r="F61" s="67"/>
      <c r="G61" s="67"/>
      <c r="H61" s="67"/>
      <c r="I61" s="67"/>
      <c r="J61" s="67"/>
    </row>
    <row r="62" spans="1:10" x14ac:dyDescent="0.25">
      <c r="A62" s="67"/>
      <c r="B62" s="67"/>
      <c r="C62" s="67"/>
      <c r="D62" s="67"/>
      <c r="E62" s="67"/>
      <c r="F62" s="67"/>
      <c r="G62" s="67"/>
      <c r="H62" s="67"/>
      <c r="I62" s="67"/>
      <c r="J62" s="67"/>
    </row>
    <row r="63" spans="1:10" x14ac:dyDescent="0.25">
      <c r="A63" s="67"/>
      <c r="B63" s="67"/>
      <c r="C63" s="67"/>
      <c r="D63" s="67"/>
      <c r="E63" s="67"/>
      <c r="F63" s="67"/>
      <c r="G63" s="67"/>
      <c r="H63" s="67"/>
      <c r="I63" s="67"/>
      <c r="J63" s="67"/>
    </row>
    <row r="64" spans="1:10" x14ac:dyDescent="0.25">
      <c r="A64" s="67"/>
      <c r="B64" s="67"/>
      <c r="C64" s="67"/>
      <c r="D64" s="67"/>
      <c r="E64" s="67"/>
      <c r="F64" s="67"/>
      <c r="G64" s="67"/>
      <c r="H64" s="67"/>
      <c r="I64" s="67"/>
      <c r="J64" s="67"/>
    </row>
    <row r="65" spans="1:10" x14ac:dyDescent="0.25">
      <c r="A65" s="67"/>
      <c r="B65" s="67"/>
      <c r="C65" s="67"/>
      <c r="D65" s="67"/>
      <c r="E65" s="67"/>
      <c r="F65" s="67"/>
      <c r="G65" s="67"/>
      <c r="H65" s="67"/>
      <c r="I65" s="67"/>
      <c r="J65" s="67"/>
    </row>
    <row r="66" spans="1:10" x14ac:dyDescent="0.25">
      <c r="A66" s="67"/>
      <c r="B66" s="67"/>
      <c r="C66" s="67"/>
      <c r="D66" s="67"/>
      <c r="E66" s="67"/>
      <c r="F66" s="67"/>
      <c r="G66" s="67"/>
      <c r="H66" s="67"/>
      <c r="I66" s="67"/>
      <c r="J66" s="67"/>
    </row>
    <row r="67" spans="1:10" x14ac:dyDescent="0.25">
      <c r="A67" s="67"/>
      <c r="B67" s="67"/>
      <c r="C67" s="67"/>
      <c r="D67" s="67"/>
      <c r="E67" s="67"/>
      <c r="F67" s="67"/>
      <c r="G67" s="67"/>
      <c r="H67" s="67"/>
      <c r="I67" s="67"/>
      <c r="J67" s="67"/>
    </row>
    <row r="68" spans="1:10" x14ac:dyDescent="0.25">
      <c r="A68" s="67"/>
      <c r="B68" s="67"/>
      <c r="C68" s="67"/>
      <c r="D68" s="67"/>
      <c r="E68" s="67"/>
      <c r="F68" s="67"/>
      <c r="G68" s="67"/>
      <c r="H68" s="67"/>
      <c r="I68" s="67"/>
      <c r="J68" s="67"/>
    </row>
    <row r="69" spans="1:10" x14ac:dyDescent="0.25">
      <c r="A69" s="67"/>
      <c r="B69" s="67"/>
      <c r="C69" s="67"/>
      <c r="D69" s="67"/>
      <c r="E69" s="67"/>
      <c r="F69" s="67"/>
      <c r="G69" s="67"/>
      <c r="H69" s="67"/>
      <c r="I69" s="67"/>
      <c r="J69" s="67"/>
    </row>
    <row r="70" spans="1:10" x14ac:dyDescent="0.25">
      <c r="A70" s="67"/>
      <c r="B70" s="67"/>
      <c r="C70" s="67"/>
      <c r="D70" s="67"/>
      <c r="E70" s="67"/>
      <c r="F70" s="67"/>
      <c r="G70" s="67"/>
      <c r="H70" s="67"/>
      <c r="I70" s="67"/>
      <c r="J70" s="67"/>
    </row>
    <row r="71" spans="1:10" x14ac:dyDescent="0.25">
      <c r="A71" s="67"/>
      <c r="B71" s="67"/>
      <c r="C71" s="67"/>
      <c r="D71" s="67"/>
      <c r="E71" s="67"/>
      <c r="F71" s="67"/>
      <c r="G71" s="67"/>
      <c r="H71" s="67"/>
      <c r="I71" s="67"/>
      <c r="J71" s="67"/>
    </row>
    <row r="72" spans="1:10" x14ac:dyDescent="0.25">
      <c r="A72" s="67"/>
      <c r="B72" s="67"/>
      <c r="C72" s="67"/>
      <c r="D72" s="67"/>
      <c r="E72" s="67"/>
      <c r="F72" s="67"/>
      <c r="G72" s="67"/>
      <c r="H72" s="67"/>
      <c r="I72" s="67"/>
      <c r="J72" s="67"/>
    </row>
    <row r="73" spans="1:10" x14ac:dyDescent="0.25">
      <c r="A73" s="67"/>
      <c r="B73" s="67"/>
      <c r="C73" s="67"/>
      <c r="D73" s="67"/>
      <c r="E73" s="67"/>
      <c r="F73" s="67"/>
      <c r="G73" s="67"/>
      <c r="H73" s="67"/>
      <c r="I73" s="67"/>
      <c r="J73" s="67"/>
    </row>
    <row r="74" spans="1:10" x14ac:dyDescent="0.25">
      <c r="A74" s="67"/>
      <c r="B74" s="67"/>
      <c r="C74" s="67"/>
      <c r="D74" s="67"/>
      <c r="E74" s="67"/>
      <c r="F74" s="67"/>
      <c r="G74" s="67"/>
      <c r="H74" s="67"/>
      <c r="I74" s="67"/>
      <c r="J74" s="67"/>
    </row>
    <row r="75" spans="1:10" x14ac:dyDescent="0.25">
      <c r="A75" s="67"/>
      <c r="B75" s="67"/>
      <c r="C75" s="67"/>
      <c r="D75" s="67"/>
      <c r="E75" s="67"/>
      <c r="F75" s="67"/>
      <c r="G75" s="67"/>
      <c r="H75" s="67"/>
      <c r="I75" s="67"/>
      <c r="J75" s="67"/>
    </row>
    <row r="76" spans="1:10" x14ac:dyDescent="0.25">
      <c r="A76" s="67"/>
      <c r="B76" s="67"/>
      <c r="C76" s="67"/>
      <c r="D76" s="67"/>
      <c r="E76" s="67"/>
      <c r="F76" s="67"/>
      <c r="G76" s="67"/>
      <c r="H76" s="67"/>
      <c r="I76" s="67"/>
      <c r="J76" s="67"/>
    </row>
    <row r="77" spans="1:10" x14ac:dyDescent="0.25">
      <c r="A77" s="67"/>
      <c r="B77" s="67"/>
      <c r="C77" s="67"/>
      <c r="D77" s="67"/>
      <c r="E77" s="67"/>
      <c r="F77" s="67"/>
      <c r="G77" s="67"/>
      <c r="H77" s="67"/>
      <c r="I77" s="67"/>
      <c r="J77" s="67"/>
    </row>
    <row r="78" spans="1:10" x14ac:dyDescent="0.25">
      <c r="A78" s="67"/>
      <c r="B78" s="67"/>
      <c r="C78" s="67"/>
      <c r="D78" s="67"/>
      <c r="E78" s="67"/>
      <c r="F78" s="67"/>
      <c r="G78" s="67"/>
      <c r="H78" s="67"/>
      <c r="I78" s="67"/>
      <c r="J78" s="67"/>
    </row>
    <row r="79" spans="1:10" x14ac:dyDescent="0.25">
      <c r="A79" s="67"/>
      <c r="B79" s="67"/>
      <c r="C79" s="67"/>
      <c r="D79" s="67"/>
      <c r="E79" s="67"/>
      <c r="F79" s="67"/>
      <c r="G79" s="67"/>
      <c r="H79" s="67"/>
      <c r="I79" s="67"/>
      <c r="J79" s="67"/>
    </row>
    <row r="80" spans="1:10" x14ac:dyDescent="0.25">
      <c r="A80" s="67"/>
      <c r="B80" s="67"/>
      <c r="C80" s="67"/>
      <c r="D80" s="67"/>
      <c r="E80" s="67"/>
      <c r="F80" s="67"/>
      <c r="G80" s="67"/>
      <c r="H80" s="67"/>
      <c r="I80" s="67"/>
      <c r="J80" s="67"/>
    </row>
  </sheetData>
  <mergeCells count="1">
    <mergeCell ref="A1:E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InputMessage="1" showErrorMessage="1">
          <x14:formula1>
            <xm:f>Database!$A$2:$A$56</xm:f>
          </x14:formula1>
          <xm:sqref>B13:D13 B28:D28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78"/>
  <sheetViews>
    <sheetView topLeftCell="A37" zoomScaleNormal="100" workbookViewId="0">
      <selection activeCell="H53" sqref="H53"/>
    </sheetView>
  </sheetViews>
  <sheetFormatPr defaultRowHeight="15.75" x14ac:dyDescent="0.25"/>
  <cols>
    <col min="1" max="3" width="23.28515625" style="2" customWidth="1"/>
    <col min="4" max="4" width="9.140625" style="2"/>
    <col min="5" max="5" width="9.140625" style="2" customWidth="1"/>
    <col min="6" max="6" width="9.140625" style="2"/>
    <col min="7" max="7" width="23.42578125" style="2" customWidth="1"/>
    <col min="8" max="8" width="25.42578125" style="2" customWidth="1"/>
    <col min="9" max="9" width="9.140625" style="2"/>
    <col min="10" max="10" width="15.5703125" style="2" customWidth="1"/>
    <col min="11" max="256" width="9.140625" style="2"/>
    <col min="257" max="16384" width="9.140625" style="5"/>
  </cols>
  <sheetData>
    <row r="1" spans="1:10" ht="20.25" thickBot="1" x14ac:dyDescent="0.35">
      <c r="A1" s="8" t="s">
        <v>23</v>
      </c>
      <c r="B1" s="8" t="s">
        <v>25</v>
      </c>
      <c r="G1" s="8" t="s">
        <v>23</v>
      </c>
      <c r="H1" s="8" t="s">
        <v>192</v>
      </c>
      <c r="I1" s="8" t="s">
        <v>193</v>
      </c>
      <c r="J1" s="8" t="s">
        <v>194</v>
      </c>
    </row>
    <row r="2" spans="1:10" ht="16.5" thickTop="1" x14ac:dyDescent="0.25">
      <c r="A2" s="2" t="s">
        <v>26</v>
      </c>
      <c r="B2" s="2">
        <v>5</v>
      </c>
      <c r="G2" s="32" t="s">
        <v>116</v>
      </c>
      <c r="H2" s="32" t="s">
        <v>117</v>
      </c>
      <c r="I2" s="32">
        <v>1</v>
      </c>
      <c r="J2" s="33">
        <v>101.96</v>
      </c>
    </row>
    <row r="3" spans="1:10" x14ac:dyDescent="0.25">
      <c r="A3" s="2" t="s">
        <v>27</v>
      </c>
      <c r="B3" s="2">
        <v>5</v>
      </c>
      <c r="G3" s="32" t="s">
        <v>118</v>
      </c>
      <c r="H3" s="32" t="s">
        <v>119</v>
      </c>
      <c r="I3" s="32">
        <v>1</v>
      </c>
      <c r="J3" s="33">
        <v>26.98</v>
      </c>
    </row>
    <row r="4" spans="1:10" x14ac:dyDescent="0.25">
      <c r="A4" s="2" t="s">
        <v>63</v>
      </c>
      <c r="B4" s="2">
        <v>5</v>
      </c>
      <c r="G4" s="32" t="s">
        <v>120</v>
      </c>
      <c r="H4" s="32" t="s">
        <v>121</v>
      </c>
      <c r="I4" s="32">
        <v>1</v>
      </c>
      <c r="J4" s="33">
        <v>17.03</v>
      </c>
    </row>
    <row r="5" spans="1:10" x14ac:dyDescent="0.25">
      <c r="A5" s="2" t="s">
        <v>28</v>
      </c>
      <c r="B5" s="2">
        <v>4</v>
      </c>
      <c r="G5" s="32" t="s">
        <v>41</v>
      </c>
      <c r="H5" s="32" t="s">
        <v>122</v>
      </c>
      <c r="I5" s="32">
        <v>1</v>
      </c>
      <c r="J5" s="33">
        <v>39.950000000000003</v>
      </c>
    </row>
    <row r="6" spans="1:10" x14ac:dyDescent="0.25">
      <c r="A6" s="2" t="s">
        <v>75</v>
      </c>
      <c r="B6" s="2">
        <v>10</v>
      </c>
      <c r="G6" s="32" t="s">
        <v>221</v>
      </c>
      <c r="H6" s="32" t="s">
        <v>222</v>
      </c>
      <c r="I6" s="32">
        <v>1</v>
      </c>
      <c r="J6" s="33">
        <v>39.950000000000003</v>
      </c>
    </row>
    <row r="7" spans="1:10" x14ac:dyDescent="0.25">
      <c r="A7" s="2" t="s">
        <v>31</v>
      </c>
      <c r="B7" s="2">
        <v>7.5</v>
      </c>
      <c r="G7" s="32" t="s">
        <v>123</v>
      </c>
      <c r="H7" s="32" t="s">
        <v>124</v>
      </c>
      <c r="I7" s="32">
        <v>1</v>
      </c>
      <c r="J7" s="33">
        <v>12.01</v>
      </c>
    </row>
    <row r="8" spans="1:10" x14ac:dyDescent="0.25">
      <c r="A8" s="2" t="s">
        <v>37</v>
      </c>
      <c r="B8" s="2">
        <v>0.1</v>
      </c>
      <c r="G8" s="32" t="s">
        <v>125</v>
      </c>
      <c r="H8" s="32" t="s">
        <v>126</v>
      </c>
      <c r="I8" s="32">
        <v>1</v>
      </c>
      <c r="J8" s="33">
        <v>44.01</v>
      </c>
    </row>
    <row r="9" spans="1:10" x14ac:dyDescent="0.25">
      <c r="A9"/>
      <c r="G9" s="32" t="s">
        <v>127</v>
      </c>
      <c r="H9" s="32" t="s">
        <v>128</v>
      </c>
      <c r="I9" s="32">
        <v>1</v>
      </c>
      <c r="J9" s="33">
        <v>28.01</v>
      </c>
    </row>
    <row r="10" spans="1:10" ht="18" thickBot="1" x14ac:dyDescent="0.35">
      <c r="A10" s="7" t="s">
        <v>60</v>
      </c>
      <c r="G10" s="32" t="s">
        <v>129</v>
      </c>
      <c r="H10" s="32" t="s">
        <v>130</v>
      </c>
      <c r="I10" s="32">
        <v>1</v>
      </c>
      <c r="J10" s="33">
        <v>35.450000000000003</v>
      </c>
    </row>
    <row r="11" spans="1:10" ht="16.5" thickTop="1" x14ac:dyDescent="0.25">
      <c r="A11" s="2" t="s">
        <v>40</v>
      </c>
      <c r="B11" s="11">
        <f>C11*1000</f>
        <v>1.0000000000000002E-6</v>
      </c>
      <c r="C11" s="12">
        <v>1.0000000000000001E-9</v>
      </c>
      <c r="G11" s="32" t="s">
        <v>131</v>
      </c>
      <c r="H11" s="32" t="s">
        <v>132</v>
      </c>
      <c r="I11" s="32">
        <v>1</v>
      </c>
      <c r="J11" s="33">
        <v>238.03</v>
      </c>
    </row>
    <row r="12" spans="1:10" x14ac:dyDescent="0.25">
      <c r="A12" s="2" t="s">
        <v>41</v>
      </c>
      <c r="B12" s="11">
        <f t="shared" ref="B12:B13" si="0">C12*1000</f>
        <v>1.784E-3</v>
      </c>
      <c r="C12" s="12">
        <v>1.784E-6</v>
      </c>
      <c r="G12" s="32" t="s">
        <v>133</v>
      </c>
      <c r="H12" s="32" t="s">
        <v>134</v>
      </c>
      <c r="I12" s="32">
        <v>1</v>
      </c>
      <c r="J12" s="33">
        <v>2.0139999999999998</v>
      </c>
    </row>
    <row r="13" spans="1:10" x14ac:dyDescent="0.25">
      <c r="A13" s="2" t="s">
        <v>84</v>
      </c>
      <c r="B13" s="11">
        <f t="shared" si="0"/>
        <v>0.9</v>
      </c>
      <c r="C13" s="12">
        <v>8.9999999999999998E-4</v>
      </c>
      <c r="G13" s="32" t="s">
        <v>135</v>
      </c>
      <c r="H13" s="32" t="s">
        <v>136</v>
      </c>
      <c r="I13" s="32">
        <v>1</v>
      </c>
      <c r="J13" s="33">
        <v>60.08</v>
      </c>
    </row>
    <row r="14" spans="1:10" x14ac:dyDescent="0.25">
      <c r="A14" s="2" t="s">
        <v>221</v>
      </c>
      <c r="B14" s="11">
        <f t="shared" ref="B14" si="1">C14*1000</f>
        <v>2.46</v>
      </c>
      <c r="C14" s="12">
        <v>2.4599999999999999E-3</v>
      </c>
      <c r="G14" s="32" t="s">
        <v>39</v>
      </c>
      <c r="H14" s="32" t="s">
        <v>132</v>
      </c>
      <c r="I14" s="32">
        <v>1</v>
      </c>
      <c r="J14" s="33">
        <v>238.03</v>
      </c>
    </row>
    <row r="15" spans="1:10" x14ac:dyDescent="0.25">
      <c r="A15" s="2" t="s">
        <v>39</v>
      </c>
      <c r="B15" s="11">
        <f t="shared" ref="B15:B25" si="2">C15*1000</f>
        <v>10.97</v>
      </c>
      <c r="C15" s="12">
        <v>1.0970000000000001E-2</v>
      </c>
      <c r="G15" s="32" t="s">
        <v>104</v>
      </c>
      <c r="H15" s="32" t="s">
        <v>137</v>
      </c>
      <c r="I15" s="32">
        <v>1</v>
      </c>
      <c r="J15" s="33">
        <v>46.07</v>
      </c>
    </row>
    <row r="16" spans="1:10" x14ac:dyDescent="0.25">
      <c r="A16" s="2" t="s">
        <v>104</v>
      </c>
      <c r="B16" s="11">
        <f t="shared" si="2"/>
        <v>0.78900000000000003</v>
      </c>
      <c r="C16" s="12">
        <v>7.8899999999999999E-4</v>
      </c>
      <c r="G16" s="32" t="s">
        <v>105</v>
      </c>
      <c r="H16" s="32" t="s">
        <v>138</v>
      </c>
      <c r="I16" s="32">
        <v>1</v>
      </c>
      <c r="J16" s="33">
        <v>61.206800000000001</v>
      </c>
    </row>
    <row r="17" spans="1:10" x14ac:dyDescent="0.25">
      <c r="A17" s="2" t="s">
        <v>105</v>
      </c>
      <c r="B17" s="11">
        <f t="shared" si="2"/>
        <v>0.84175</v>
      </c>
      <c r="C17" s="12">
        <v>8.4175000000000005E-4</v>
      </c>
      <c r="G17" s="32" t="s">
        <v>139</v>
      </c>
      <c r="H17" s="32" t="s">
        <v>140</v>
      </c>
      <c r="I17" s="32">
        <v>1</v>
      </c>
      <c r="J17" s="33">
        <v>183.88</v>
      </c>
    </row>
    <row r="18" spans="1:10" x14ac:dyDescent="0.25">
      <c r="A18" s="2" t="s">
        <v>81</v>
      </c>
      <c r="B18" s="11">
        <f t="shared" si="2"/>
        <v>1</v>
      </c>
      <c r="C18" s="12">
        <v>1E-3</v>
      </c>
      <c r="G18" s="32" t="s">
        <v>141</v>
      </c>
      <c r="H18" s="32" t="s">
        <v>142</v>
      </c>
      <c r="I18" s="32">
        <v>1</v>
      </c>
      <c r="J18" s="33">
        <v>19</v>
      </c>
    </row>
    <row r="19" spans="1:10" x14ac:dyDescent="0.25">
      <c r="A19" s="2" t="s">
        <v>76</v>
      </c>
      <c r="B19" s="11">
        <f t="shared" si="2"/>
        <v>0.216</v>
      </c>
      <c r="C19" s="12">
        <v>2.1599999999999999E-4</v>
      </c>
      <c r="G19" s="32" t="s">
        <v>76</v>
      </c>
      <c r="H19" s="32" t="s">
        <v>143</v>
      </c>
      <c r="I19" s="32">
        <v>1</v>
      </c>
      <c r="J19" s="33">
        <f>5.03</f>
        <v>5.03</v>
      </c>
    </row>
    <row r="20" spans="1:10" x14ac:dyDescent="0.25">
      <c r="A20" s="2" t="s">
        <v>47</v>
      </c>
      <c r="B20" s="11">
        <f t="shared" si="2"/>
        <v>2.5</v>
      </c>
      <c r="C20" s="12">
        <v>2.5000000000000001E-3</v>
      </c>
      <c r="G20" s="32" t="s">
        <v>144</v>
      </c>
      <c r="H20" s="32" t="s">
        <v>145</v>
      </c>
      <c r="I20" s="32">
        <v>1</v>
      </c>
      <c r="J20" s="33">
        <v>92.09</v>
      </c>
    </row>
    <row r="21" spans="1:10" x14ac:dyDescent="0.25">
      <c r="A21" s="2" t="s">
        <v>48</v>
      </c>
      <c r="B21" s="11">
        <f t="shared" si="2"/>
        <v>5.8</v>
      </c>
      <c r="C21" s="12">
        <v>5.7999999999999996E-3</v>
      </c>
      <c r="G21" s="32" t="s">
        <v>146</v>
      </c>
      <c r="H21" s="32" t="s">
        <v>147</v>
      </c>
      <c r="I21" s="32">
        <v>1</v>
      </c>
      <c r="J21" s="33">
        <v>172.14</v>
      </c>
    </row>
    <row r="22" spans="1:10" x14ac:dyDescent="0.25">
      <c r="A22" s="2" t="s">
        <v>103</v>
      </c>
      <c r="B22" s="11">
        <f t="shared" si="2"/>
        <v>0.82</v>
      </c>
      <c r="C22" s="12">
        <v>8.1999999999999998E-4</v>
      </c>
      <c r="G22" s="32" t="s">
        <v>148</v>
      </c>
      <c r="H22" s="32" t="s">
        <v>149</v>
      </c>
      <c r="I22" s="32">
        <v>1</v>
      </c>
      <c r="J22" s="33">
        <v>3.016</v>
      </c>
    </row>
    <row r="23" spans="1:10" x14ac:dyDescent="0.25">
      <c r="A23" s="2" t="s">
        <v>38</v>
      </c>
      <c r="B23" s="11">
        <f t="shared" si="2"/>
        <v>0.53399999999999992</v>
      </c>
      <c r="C23" s="12">
        <v>5.3399999999999997E-4</v>
      </c>
      <c r="G23" s="32" t="s">
        <v>150</v>
      </c>
      <c r="H23" s="32" t="s">
        <v>151</v>
      </c>
      <c r="I23" s="32">
        <v>1</v>
      </c>
      <c r="J23" s="33">
        <v>4.0019999999999998</v>
      </c>
    </row>
    <row r="24" spans="1:10" x14ac:dyDescent="0.25">
      <c r="A24" s="5" t="s">
        <v>45</v>
      </c>
      <c r="B24" s="11">
        <f t="shared" si="2"/>
        <v>0.70209999999999995</v>
      </c>
      <c r="C24" s="12">
        <v>7.0209999999999999E-4</v>
      </c>
      <c r="G24" s="32" t="s">
        <v>152</v>
      </c>
      <c r="H24" s="32" t="s">
        <v>153</v>
      </c>
      <c r="I24" s="32">
        <v>1</v>
      </c>
      <c r="J24" s="33">
        <v>34.01</v>
      </c>
    </row>
    <row r="25" spans="1:10" x14ac:dyDescent="0.25">
      <c r="A25" s="2" t="s">
        <v>161</v>
      </c>
      <c r="B25" s="11">
        <f t="shared" si="2"/>
        <v>0.79</v>
      </c>
      <c r="C25" s="12">
        <v>7.9000000000000001E-4</v>
      </c>
      <c r="G25" s="32" t="s">
        <v>154</v>
      </c>
      <c r="H25" s="32" t="s">
        <v>155</v>
      </c>
      <c r="I25" s="32">
        <v>1</v>
      </c>
      <c r="J25" s="33">
        <v>168.69</v>
      </c>
    </row>
    <row r="26" spans="1:10" x14ac:dyDescent="0.25">
      <c r="A26" s="2" t="s">
        <v>44</v>
      </c>
      <c r="B26" s="11">
        <f t="shared" ref="B26:B40" si="3">C26*1000</f>
        <v>1.1732500000000001</v>
      </c>
      <c r="C26" s="12">
        <v>1.17325E-3</v>
      </c>
      <c r="G26" s="32" t="s">
        <v>156</v>
      </c>
      <c r="H26" s="32" t="s">
        <v>157</v>
      </c>
      <c r="I26" s="32">
        <v>1</v>
      </c>
      <c r="J26" s="33">
        <f>(14.007*2)+(1.008*4)</f>
        <v>32.045999999999999</v>
      </c>
    </row>
    <row r="27" spans="1:10" x14ac:dyDescent="0.25">
      <c r="A27" s="2" t="s">
        <v>43</v>
      </c>
      <c r="B27" s="11">
        <f t="shared" si="3"/>
        <v>0.16239999999999999</v>
      </c>
      <c r="C27" s="12">
        <v>1.6239999999999999E-4</v>
      </c>
      <c r="G27" s="32" t="s">
        <v>107</v>
      </c>
      <c r="H27" s="32" t="s">
        <v>158</v>
      </c>
      <c r="I27" s="32">
        <v>1</v>
      </c>
      <c r="J27" s="33">
        <v>2.02</v>
      </c>
    </row>
    <row r="28" spans="1:10" x14ac:dyDescent="0.25">
      <c r="A28" s="2" t="s">
        <v>46</v>
      </c>
      <c r="B28" s="11">
        <f t="shared" si="3"/>
        <v>5.8999999999999997E-2</v>
      </c>
      <c r="C28" s="12">
        <v>5.8999999999999998E-5</v>
      </c>
      <c r="G28" s="32" t="s">
        <v>103</v>
      </c>
      <c r="H28" s="32" t="s">
        <v>159</v>
      </c>
      <c r="I28" s="32">
        <v>1</v>
      </c>
      <c r="J28" s="33">
        <v>170.34</v>
      </c>
    </row>
    <row r="29" spans="1:10" x14ac:dyDescent="0.25">
      <c r="A29" s="2" t="s">
        <v>29</v>
      </c>
      <c r="B29" s="11">
        <f t="shared" si="3"/>
        <v>7.0849999999999996E-2</v>
      </c>
      <c r="C29" s="12">
        <v>7.0850000000000001E-5</v>
      </c>
      <c r="G29" s="32" t="s">
        <v>38</v>
      </c>
      <c r="H29" s="32" t="s">
        <v>160</v>
      </c>
      <c r="I29" s="32">
        <v>1</v>
      </c>
      <c r="J29" s="33">
        <v>6.94</v>
      </c>
    </row>
    <row r="30" spans="1:10" x14ac:dyDescent="0.25">
      <c r="A30" s="2" t="s">
        <v>30</v>
      </c>
      <c r="B30" s="11">
        <f t="shared" si="3"/>
        <v>0.42560999999999999</v>
      </c>
      <c r="C30" s="12">
        <v>4.2560999999999999E-4</v>
      </c>
      <c r="G30" s="32" t="s">
        <v>45</v>
      </c>
      <c r="H30" s="32" t="s">
        <v>121</v>
      </c>
      <c r="I30" s="32">
        <v>1</v>
      </c>
      <c r="J30" s="33">
        <v>17.03</v>
      </c>
    </row>
    <row r="31" spans="1:10" x14ac:dyDescent="0.25">
      <c r="A31" s="2" t="s">
        <v>85</v>
      </c>
      <c r="B31" s="11">
        <f t="shared" si="3"/>
        <v>1.141</v>
      </c>
      <c r="C31" s="12">
        <v>1.1410000000000001E-3</v>
      </c>
      <c r="G31" s="32" t="s">
        <v>161</v>
      </c>
      <c r="H31" s="32" t="s">
        <v>128</v>
      </c>
      <c r="I31" s="32">
        <v>1</v>
      </c>
      <c r="J31" s="33">
        <v>28.01</v>
      </c>
    </row>
    <row r="32" spans="1:10" x14ac:dyDescent="0.25">
      <c r="A32" s="2" t="s">
        <v>106</v>
      </c>
      <c r="B32" s="11">
        <f t="shared" si="3"/>
        <v>0.82490700000000006</v>
      </c>
      <c r="C32" s="12">
        <v>8.2490700000000005E-4</v>
      </c>
      <c r="G32" s="32" t="s">
        <v>44</v>
      </c>
      <c r="H32" s="32" t="s">
        <v>126</v>
      </c>
      <c r="I32" s="32">
        <v>1</v>
      </c>
      <c r="J32" s="33">
        <v>44.01</v>
      </c>
    </row>
    <row r="33" spans="1:10" x14ac:dyDescent="0.25">
      <c r="A33" s="2" t="s">
        <v>42</v>
      </c>
      <c r="B33" s="11">
        <f t="shared" si="3"/>
        <v>7.8</v>
      </c>
      <c r="C33" s="12">
        <v>7.7999999999999996E-3</v>
      </c>
      <c r="G33" s="32" t="s">
        <v>43</v>
      </c>
      <c r="H33" s="32" t="s">
        <v>134</v>
      </c>
      <c r="I33" s="32">
        <v>1</v>
      </c>
      <c r="J33" s="33">
        <v>2.0139999999999998</v>
      </c>
    </row>
    <row r="34" spans="1:10" x14ac:dyDescent="0.25">
      <c r="A34" s="2" t="s">
        <v>79</v>
      </c>
      <c r="B34" s="11">
        <f t="shared" si="3"/>
        <v>7.085</v>
      </c>
      <c r="C34" s="12">
        <v>7.0850000000000002E-3</v>
      </c>
      <c r="G34" s="32" t="s">
        <v>46</v>
      </c>
      <c r="H34" s="32" t="s">
        <v>149</v>
      </c>
      <c r="I34" s="32">
        <v>1</v>
      </c>
      <c r="J34" s="33">
        <v>3.016</v>
      </c>
    </row>
    <row r="35" spans="1:10" x14ac:dyDescent="0.25">
      <c r="A35" s="2" t="s">
        <v>82</v>
      </c>
      <c r="B35" s="11">
        <f t="shared" si="3"/>
        <v>0.88</v>
      </c>
      <c r="C35" s="12">
        <v>8.8000000000000003E-4</v>
      </c>
      <c r="G35" s="32" t="s">
        <v>162</v>
      </c>
      <c r="H35" s="32" t="s">
        <v>151</v>
      </c>
      <c r="I35" s="32">
        <v>1</v>
      </c>
      <c r="J35" s="33">
        <v>4.0019999999999998</v>
      </c>
    </row>
    <row r="36" spans="1:10" x14ac:dyDescent="0.25">
      <c r="A36" s="2" t="s">
        <v>83</v>
      </c>
      <c r="B36" s="11">
        <f t="shared" si="3"/>
        <v>1.45</v>
      </c>
      <c r="C36" s="12">
        <v>1.4499999999999999E-3</v>
      </c>
      <c r="G36" s="32" t="s">
        <v>29</v>
      </c>
      <c r="H36" s="32" t="s">
        <v>158</v>
      </c>
      <c r="I36" s="32">
        <v>1</v>
      </c>
      <c r="J36" s="33">
        <v>2.02</v>
      </c>
    </row>
    <row r="37" spans="1:10" x14ac:dyDescent="0.25">
      <c r="A37" s="5" t="s">
        <v>80</v>
      </c>
      <c r="B37" s="11">
        <f t="shared" si="3"/>
        <v>1.05</v>
      </c>
      <c r="C37" s="12">
        <v>1.0499999999999999E-3</v>
      </c>
      <c r="G37" s="32" t="s">
        <v>30</v>
      </c>
      <c r="H37" s="32" t="s">
        <v>163</v>
      </c>
      <c r="I37" s="32">
        <v>1</v>
      </c>
      <c r="J37" s="33">
        <v>16.05</v>
      </c>
    </row>
    <row r="38" spans="1:10" x14ac:dyDescent="0.25">
      <c r="A38" s="5" t="s">
        <v>86</v>
      </c>
      <c r="B38" s="11">
        <f t="shared" si="3"/>
        <v>0.79100000000000004</v>
      </c>
      <c r="C38" s="12">
        <v>7.9100000000000004E-4</v>
      </c>
      <c r="G38" s="32" t="s">
        <v>85</v>
      </c>
      <c r="H38" s="34" t="s">
        <v>164</v>
      </c>
      <c r="I38" s="34">
        <v>1</v>
      </c>
      <c r="J38" s="33">
        <v>32</v>
      </c>
    </row>
    <row r="39" spans="1:10" x14ac:dyDescent="0.25">
      <c r="A39" s="5" t="s">
        <v>87</v>
      </c>
      <c r="B39" s="11">
        <f t="shared" si="3"/>
        <v>0.82899999999999996</v>
      </c>
      <c r="C39" s="12">
        <v>8.2899999999999998E-4</v>
      </c>
      <c r="G39" s="32" t="s">
        <v>106</v>
      </c>
      <c r="H39" s="32" t="s">
        <v>165</v>
      </c>
      <c r="I39" s="32">
        <v>1</v>
      </c>
      <c r="J39" s="33">
        <v>28.01</v>
      </c>
    </row>
    <row r="40" spans="1:10" x14ac:dyDescent="0.25">
      <c r="A40" s="2" t="s">
        <v>77</v>
      </c>
      <c r="B40" s="11">
        <f t="shared" si="3"/>
        <v>1</v>
      </c>
      <c r="C40" s="12">
        <v>1E-3</v>
      </c>
      <c r="G40" s="32" t="s">
        <v>79</v>
      </c>
      <c r="H40" s="32" t="s">
        <v>158</v>
      </c>
      <c r="I40" s="32">
        <v>1</v>
      </c>
      <c r="J40" s="33">
        <f>J36</f>
        <v>2.02</v>
      </c>
    </row>
    <row r="41" spans="1:10" x14ac:dyDescent="0.25">
      <c r="G41" s="32" t="s">
        <v>166</v>
      </c>
      <c r="H41" s="32" t="s">
        <v>167</v>
      </c>
      <c r="I41" s="32">
        <v>1</v>
      </c>
      <c r="J41" s="33">
        <v>159.69</v>
      </c>
    </row>
    <row r="42" spans="1:10" ht="18" thickBot="1" x14ac:dyDescent="0.35">
      <c r="A42" s="7" t="s">
        <v>61</v>
      </c>
      <c r="B42"/>
      <c r="C42" s="13"/>
      <c r="G42" s="32" t="s">
        <v>168</v>
      </c>
      <c r="H42" s="32" t="s">
        <v>169</v>
      </c>
      <c r="I42" s="32">
        <v>1</v>
      </c>
      <c r="J42" s="33">
        <f>55.845*2</f>
        <v>111.69</v>
      </c>
    </row>
    <row r="43" spans="1:10" ht="16.5" thickTop="1" x14ac:dyDescent="0.25">
      <c r="A43" s="2" t="s">
        <v>49</v>
      </c>
      <c r="B43" s="11">
        <f t="shared" ref="B43:B56" si="4">C43*1000</f>
        <v>5</v>
      </c>
      <c r="C43" s="12">
        <v>5.0000000000000001E-3</v>
      </c>
      <c r="G43" s="32" t="s">
        <v>42</v>
      </c>
      <c r="H43" s="32" t="s">
        <v>169</v>
      </c>
      <c r="I43" s="32">
        <v>1</v>
      </c>
      <c r="J43" s="33">
        <f>55.845*2</f>
        <v>111.69</v>
      </c>
    </row>
    <row r="44" spans="1:10" x14ac:dyDescent="0.25">
      <c r="A44" s="2" t="s">
        <v>56</v>
      </c>
      <c r="B44" s="11">
        <f t="shared" si="4"/>
        <v>54.4</v>
      </c>
      <c r="C44" s="12">
        <v>5.4399999999999997E-2</v>
      </c>
      <c r="G44" s="32" t="s">
        <v>170</v>
      </c>
      <c r="H44" s="32" t="s">
        <v>163</v>
      </c>
      <c r="I44" s="32">
        <v>1</v>
      </c>
      <c r="J44" s="33">
        <f>12.02+4*1.008</f>
        <v>16.052</v>
      </c>
    </row>
    <row r="45" spans="1:10" x14ac:dyDescent="0.25">
      <c r="A45" s="2" t="s">
        <v>50</v>
      </c>
      <c r="B45" s="11">
        <f t="shared" si="4"/>
        <v>5</v>
      </c>
      <c r="C45" s="12">
        <v>5.0000000000000001E-3</v>
      </c>
      <c r="G45" s="32" t="s">
        <v>171</v>
      </c>
      <c r="H45" s="32" t="s">
        <v>172</v>
      </c>
      <c r="I45" s="32">
        <v>1</v>
      </c>
      <c r="J45" s="33">
        <f>(28.086*2)+(16*2)</f>
        <v>88.171999999999997</v>
      </c>
    </row>
    <row r="46" spans="1:10" ht="18.75" x14ac:dyDescent="0.25">
      <c r="A46" s="2" t="s">
        <v>59</v>
      </c>
      <c r="B46" s="11">
        <f t="shared" si="4"/>
        <v>6.0000000000000005E-2</v>
      </c>
      <c r="C46" s="12">
        <v>6.0000000000000002E-5</v>
      </c>
      <c r="G46" s="32" t="s">
        <v>82</v>
      </c>
      <c r="H46" s="32" t="s">
        <v>173</v>
      </c>
      <c r="I46" s="32">
        <v>1</v>
      </c>
      <c r="J46" s="33">
        <v>46.07</v>
      </c>
    </row>
    <row r="47" spans="1:10" x14ac:dyDescent="0.25">
      <c r="A47" s="2" t="s">
        <v>54</v>
      </c>
      <c r="B47" s="11">
        <f t="shared" si="4"/>
        <v>5.0108799999999993</v>
      </c>
      <c r="C47" s="12">
        <v>5.0108799999999997E-3</v>
      </c>
      <c r="G47" s="32" t="s">
        <v>174</v>
      </c>
      <c r="H47" s="32" t="s">
        <v>175</v>
      </c>
      <c r="I47" s="32">
        <v>1</v>
      </c>
      <c r="J47" s="33">
        <v>233.88</v>
      </c>
    </row>
    <row r="48" spans="1:10" x14ac:dyDescent="0.25">
      <c r="A48" s="2" t="s">
        <v>57</v>
      </c>
      <c r="B48" s="11">
        <f t="shared" si="4"/>
        <v>5</v>
      </c>
      <c r="C48" s="12">
        <v>5.0000000000000001E-3</v>
      </c>
      <c r="G48" s="32" t="s">
        <v>176</v>
      </c>
      <c r="H48" s="32" t="s">
        <v>165</v>
      </c>
      <c r="I48" s="32">
        <v>1</v>
      </c>
      <c r="J48" s="33">
        <f>14.007*2</f>
        <v>28.013999999999999</v>
      </c>
    </row>
    <row r="49" spans="1:10" x14ac:dyDescent="0.25">
      <c r="A49" s="2" t="s">
        <v>51</v>
      </c>
      <c r="B49" s="11">
        <f t="shared" si="4"/>
        <v>8.6</v>
      </c>
      <c r="C49" s="12">
        <v>8.6E-3</v>
      </c>
      <c r="G49" s="32" t="s">
        <v>83</v>
      </c>
      <c r="H49" s="32" t="s">
        <v>177</v>
      </c>
      <c r="I49" s="32">
        <v>1</v>
      </c>
      <c r="J49" s="33">
        <v>92.04</v>
      </c>
    </row>
    <row r="50" spans="1:10" x14ac:dyDescent="0.25">
      <c r="A50" s="2" t="s">
        <v>55</v>
      </c>
      <c r="B50" s="11">
        <f t="shared" si="4"/>
        <v>5.7050000000000001</v>
      </c>
      <c r="C50" s="12">
        <v>5.705E-3</v>
      </c>
      <c r="G50" s="32" t="s">
        <v>178</v>
      </c>
      <c r="H50" s="32" t="s">
        <v>164</v>
      </c>
      <c r="I50" s="32">
        <v>1</v>
      </c>
      <c r="J50" s="33">
        <v>32</v>
      </c>
    </row>
    <row r="51" spans="1:10" x14ac:dyDescent="0.25">
      <c r="A51" s="2" t="s">
        <v>52</v>
      </c>
      <c r="B51" s="11">
        <f t="shared" si="4"/>
        <v>0.35399999999999998</v>
      </c>
      <c r="C51" s="12">
        <v>3.5399999999999999E-4</v>
      </c>
      <c r="G51" s="32" t="s">
        <v>179</v>
      </c>
      <c r="H51" s="32" t="s">
        <v>111</v>
      </c>
      <c r="I51" s="32">
        <v>1</v>
      </c>
      <c r="J51" s="33">
        <v>30.97</v>
      </c>
    </row>
    <row r="52" spans="1:10" x14ac:dyDescent="0.25">
      <c r="A52" s="2" t="s">
        <v>53</v>
      </c>
      <c r="B52" s="11">
        <f t="shared" si="4"/>
        <v>2.12805</v>
      </c>
      <c r="C52" s="12">
        <v>2.1280499999999998E-3</v>
      </c>
      <c r="G52" s="32" t="s">
        <v>180</v>
      </c>
      <c r="H52" s="32" t="s">
        <v>181</v>
      </c>
      <c r="I52" s="32">
        <v>1</v>
      </c>
      <c r="J52" s="33">
        <f>195.078</f>
        <v>195.078</v>
      </c>
    </row>
    <row r="53" spans="1:10" x14ac:dyDescent="0.25">
      <c r="A53" s="2" t="s">
        <v>58</v>
      </c>
      <c r="B53" s="11">
        <f t="shared" si="4"/>
        <v>4.1000000000000005</v>
      </c>
      <c r="C53" s="12">
        <v>4.1000000000000003E-3</v>
      </c>
      <c r="G53" s="32" t="s">
        <v>182</v>
      </c>
      <c r="H53" s="32" t="s">
        <v>223</v>
      </c>
      <c r="I53" s="32">
        <v>1</v>
      </c>
      <c r="J53" s="33">
        <v>76.08</v>
      </c>
    </row>
    <row r="54" spans="1:10" x14ac:dyDescent="0.25">
      <c r="A54" s="2" t="s">
        <v>74</v>
      </c>
      <c r="B54" s="11">
        <f t="shared" si="4"/>
        <v>12.5</v>
      </c>
      <c r="C54" s="12">
        <v>1.2500000000000001E-2</v>
      </c>
      <c r="G54" s="32" t="s">
        <v>183</v>
      </c>
      <c r="H54" s="32" t="s">
        <v>184</v>
      </c>
      <c r="I54" s="32">
        <v>1</v>
      </c>
      <c r="J54" s="33">
        <v>28.09</v>
      </c>
    </row>
    <row r="55" spans="1:10" x14ac:dyDescent="0.25">
      <c r="A55" s="2" t="s">
        <v>68</v>
      </c>
      <c r="B55" s="11">
        <f t="shared" si="4"/>
        <v>7.5</v>
      </c>
      <c r="C55" s="12">
        <v>7.4999999999999997E-3</v>
      </c>
      <c r="G55" s="32" t="s">
        <v>185</v>
      </c>
      <c r="H55" s="32" t="s">
        <v>186</v>
      </c>
      <c r="I55" s="32">
        <v>1</v>
      </c>
      <c r="J55" s="33">
        <v>186.09</v>
      </c>
    </row>
    <row r="56" spans="1:10" x14ac:dyDescent="0.25">
      <c r="A56" s="5" t="s">
        <v>78</v>
      </c>
      <c r="B56" s="11">
        <f t="shared" si="4"/>
        <v>5</v>
      </c>
      <c r="C56" s="12">
        <v>5.0000000000000001E-3</v>
      </c>
      <c r="G56" s="32" t="s">
        <v>187</v>
      </c>
      <c r="H56" s="32" t="s">
        <v>188</v>
      </c>
      <c r="I56" s="32">
        <v>1</v>
      </c>
      <c r="J56" s="33">
        <v>270.02999999999997</v>
      </c>
    </row>
    <row r="57" spans="1:10" x14ac:dyDescent="0.25">
      <c r="G57" s="32" t="s">
        <v>86</v>
      </c>
      <c r="H57" s="32" t="s">
        <v>189</v>
      </c>
      <c r="I57" s="32">
        <v>1</v>
      </c>
      <c r="J57" s="33">
        <v>60.1</v>
      </c>
    </row>
    <row r="58" spans="1:10" x14ac:dyDescent="0.25">
      <c r="G58" s="32" t="s">
        <v>87</v>
      </c>
      <c r="H58" s="32" t="s">
        <v>190</v>
      </c>
      <c r="I58" s="32">
        <v>1</v>
      </c>
      <c r="J58" s="33">
        <f>SUM(($D$38*0.25)+($D$82*0.75))</f>
        <v>0</v>
      </c>
    </row>
    <row r="59" spans="1:10" x14ac:dyDescent="0.25">
      <c r="G59" s="32" t="s">
        <v>77</v>
      </c>
      <c r="H59" s="32" t="s">
        <v>191</v>
      </c>
      <c r="I59" s="32">
        <v>1</v>
      </c>
      <c r="J59" s="33">
        <v>18.02</v>
      </c>
    </row>
    <row r="78" spans="7:10" x14ac:dyDescent="0.25">
      <c r="G78" s="32"/>
      <c r="H78" s="32"/>
      <c r="I78" s="32"/>
      <c r="J78" s="33"/>
    </row>
  </sheetData>
  <dataValidations disablePrompts="1" count="1">
    <dataValidation type="list" allowBlank="1" showInputMessage="1" showErrorMessage="1" sqref="E2">
      <formula1>$A$11:$A$40</formula1>
    </dataValidation>
  </dataValidations>
  <pageMargins left="1" right="1" top="1.6666666666666667" bottom="1.6666666666666667" header="1" footer="1"/>
  <pageSetup firstPageNumber="4294967295" fitToWidth="0" fitToHeight="0" orientation="portrait" cellComments="asDisplayed" copies="0"/>
  <headerFooter alignWithMargins="0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>
      <selection activeCell="D15" sqref="D15"/>
    </sheetView>
  </sheetViews>
  <sheetFormatPr defaultRowHeight="15.75" x14ac:dyDescent="0.25"/>
  <cols>
    <col min="1" max="1" width="12.42578125" style="2" customWidth="1"/>
    <col min="2" max="2" width="13.85546875" style="2" customWidth="1"/>
    <col min="3" max="3" width="11.5703125" style="2" customWidth="1"/>
    <col min="4" max="4" width="13.7109375" style="2" customWidth="1"/>
    <col min="5" max="5" width="13.5703125" style="2" customWidth="1"/>
    <col min="6" max="6" width="14.5703125" style="2" customWidth="1"/>
    <col min="7" max="7" width="12.42578125" style="2" bestFit="1" customWidth="1"/>
    <col min="8" max="256" width="9.140625" style="2"/>
    <col min="257" max="16384" width="9.140625" style="5"/>
  </cols>
  <sheetData>
    <row r="1" spans="1:8" x14ac:dyDescent="0.25">
      <c r="A1" s="82" t="s">
        <v>62</v>
      </c>
      <c r="B1" s="82"/>
      <c r="C1" s="82"/>
      <c r="D1" s="82"/>
      <c r="E1" s="82"/>
      <c r="F1" s="82"/>
      <c r="G1" s="82"/>
    </row>
    <row r="2" spans="1: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3" spans="1:8" x14ac:dyDescent="0.25">
      <c r="A3" s="2" t="s">
        <v>7</v>
      </c>
      <c r="B3" s="2">
        <v>16</v>
      </c>
      <c r="C3" s="2">
        <v>290</v>
      </c>
      <c r="D3" s="3">
        <f t="shared" ref="D3:D16" si="0">C3*9.8066</f>
        <v>2843.9139999999998</v>
      </c>
      <c r="E3" s="3">
        <f t="shared" ref="E3:E16" si="1">B3*1000/D3</f>
        <v>5.6260491702632365</v>
      </c>
      <c r="F3" s="4">
        <f t="shared" ref="F3:F16" si="2">B3*1000*D3/2</f>
        <v>22751311.999999996</v>
      </c>
      <c r="G3" s="4">
        <f t="shared" ref="G3:G16" si="3">F3/E3</f>
        <v>4043923.419697999</v>
      </c>
    </row>
    <row r="4" spans="1:8" x14ac:dyDescent="0.25">
      <c r="A4" s="2" t="s">
        <v>8</v>
      </c>
      <c r="B4" s="2">
        <v>20</v>
      </c>
      <c r="C4" s="2">
        <v>320</v>
      </c>
      <c r="D4" s="3">
        <f t="shared" si="0"/>
        <v>3138.1120000000001</v>
      </c>
      <c r="E4" s="3">
        <f t="shared" si="1"/>
        <v>6.3732588256888221</v>
      </c>
      <c r="F4" s="4">
        <f t="shared" si="2"/>
        <v>31381120</v>
      </c>
      <c r="G4" s="4">
        <f t="shared" si="3"/>
        <v>4923873.4622719996</v>
      </c>
    </row>
    <row r="5" spans="1:8" x14ac:dyDescent="0.25">
      <c r="A5" s="2" t="s">
        <v>9</v>
      </c>
      <c r="B5" s="2">
        <v>180</v>
      </c>
      <c r="C5" s="2">
        <v>340</v>
      </c>
      <c r="D5" s="3">
        <f t="shared" si="0"/>
        <v>3334.2439999999997</v>
      </c>
      <c r="E5" s="3">
        <f t="shared" si="1"/>
        <v>53.985251229364145</v>
      </c>
      <c r="F5" s="4">
        <f t="shared" si="2"/>
        <v>300081960</v>
      </c>
      <c r="G5" s="4">
        <f t="shared" si="3"/>
        <v>5558591.5257679988</v>
      </c>
    </row>
    <row r="6" spans="1:8" x14ac:dyDescent="0.25">
      <c r="A6" s="2" t="s">
        <v>10</v>
      </c>
      <c r="B6" s="2">
        <v>2</v>
      </c>
      <c r="C6" s="2">
        <v>315</v>
      </c>
      <c r="D6" s="3">
        <f t="shared" si="0"/>
        <v>3089.0789999999997</v>
      </c>
      <c r="E6" s="3">
        <f t="shared" si="1"/>
        <v>0.64744216641918195</v>
      </c>
      <c r="F6" s="4">
        <f t="shared" si="2"/>
        <v>3089078.9999999995</v>
      </c>
      <c r="G6" s="4">
        <f t="shared" si="3"/>
        <v>4771204.5341204992</v>
      </c>
    </row>
    <row r="7" spans="1:8" x14ac:dyDescent="0.25">
      <c r="A7" s="2" t="s">
        <v>11</v>
      </c>
      <c r="B7" s="2">
        <v>2</v>
      </c>
      <c r="C7" s="2">
        <v>290</v>
      </c>
      <c r="D7" s="3">
        <f t="shared" si="0"/>
        <v>2843.9139999999998</v>
      </c>
      <c r="E7" s="3">
        <f t="shared" si="1"/>
        <v>0.70325614628290456</v>
      </c>
      <c r="F7" s="4">
        <f t="shared" si="2"/>
        <v>2843913.9999999995</v>
      </c>
      <c r="G7" s="4">
        <f t="shared" si="3"/>
        <v>4043923.419697999</v>
      </c>
    </row>
    <row r="8" spans="1:8" x14ac:dyDescent="0.25">
      <c r="A8" s="2" t="s">
        <v>12</v>
      </c>
      <c r="B8" s="2">
        <v>60</v>
      </c>
      <c r="C8" s="2">
        <v>345</v>
      </c>
      <c r="D8" s="3">
        <f t="shared" si="0"/>
        <v>3383.277</v>
      </c>
      <c r="E8" s="3">
        <f t="shared" si="1"/>
        <v>17.734285428003677</v>
      </c>
      <c r="F8" s="4">
        <f t="shared" si="2"/>
        <v>101498310</v>
      </c>
      <c r="G8" s="4">
        <f t="shared" si="3"/>
        <v>5723281.6293645008</v>
      </c>
    </row>
    <row r="9" spans="1:8" x14ac:dyDescent="0.25">
      <c r="A9" s="2" t="s">
        <v>13</v>
      </c>
      <c r="B9" s="2">
        <v>60</v>
      </c>
      <c r="C9" s="2">
        <v>800</v>
      </c>
      <c r="D9" s="3">
        <f t="shared" si="0"/>
        <v>7845.28</v>
      </c>
      <c r="E9" s="3">
        <f t="shared" si="1"/>
        <v>7.6479105908265863</v>
      </c>
      <c r="F9" s="4">
        <f t="shared" si="2"/>
        <v>235358400</v>
      </c>
      <c r="G9" s="4">
        <f t="shared" si="3"/>
        <v>30774209.139199998</v>
      </c>
      <c r="H9" s="2" t="s">
        <v>14</v>
      </c>
    </row>
    <row r="10" spans="1:8" x14ac:dyDescent="0.25">
      <c r="A10" s="2" t="s">
        <v>15</v>
      </c>
      <c r="B10" s="2">
        <v>240</v>
      </c>
      <c r="C10" s="2">
        <v>310</v>
      </c>
      <c r="D10" s="3">
        <f t="shared" si="0"/>
        <v>3040.0459999999998</v>
      </c>
      <c r="E10" s="3">
        <f t="shared" si="1"/>
        <v>78.946173840790578</v>
      </c>
      <c r="F10" s="4">
        <f t="shared" si="2"/>
        <v>364805520</v>
      </c>
      <c r="G10" s="4">
        <f t="shared" si="3"/>
        <v>4620939.8410579991</v>
      </c>
    </row>
    <row r="11" spans="1:8" x14ac:dyDescent="0.25">
      <c r="A11" s="2" t="s">
        <v>16</v>
      </c>
      <c r="B11" s="2">
        <v>215</v>
      </c>
      <c r="C11" s="2">
        <v>320</v>
      </c>
      <c r="D11" s="3">
        <f t="shared" si="0"/>
        <v>3138.1120000000001</v>
      </c>
      <c r="E11" s="3">
        <f t="shared" si="1"/>
        <v>68.512532376154837</v>
      </c>
      <c r="F11" s="4">
        <f t="shared" si="2"/>
        <v>337347040</v>
      </c>
      <c r="G11" s="4">
        <f t="shared" si="3"/>
        <v>4923873.4622719996</v>
      </c>
    </row>
    <row r="12" spans="1:8" x14ac:dyDescent="0.25">
      <c r="A12" s="2" t="s">
        <v>17</v>
      </c>
      <c r="B12" s="2">
        <v>1500</v>
      </c>
      <c r="C12" s="2">
        <v>310</v>
      </c>
      <c r="D12" s="3">
        <f t="shared" si="0"/>
        <v>3040.0459999999998</v>
      </c>
      <c r="E12" s="3">
        <f t="shared" si="1"/>
        <v>493.41358650494107</v>
      </c>
      <c r="F12" s="4">
        <f t="shared" si="2"/>
        <v>2280034500</v>
      </c>
      <c r="G12" s="4">
        <f t="shared" si="3"/>
        <v>4620939.841058</v>
      </c>
    </row>
    <row r="13" spans="1:8" x14ac:dyDescent="0.25">
      <c r="A13" s="2" t="s">
        <v>18</v>
      </c>
      <c r="B13" s="2">
        <v>120</v>
      </c>
      <c r="C13" s="2">
        <v>305</v>
      </c>
      <c r="D13" s="3">
        <f t="shared" si="0"/>
        <v>2991.0129999999999</v>
      </c>
      <c r="E13" s="3">
        <f t="shared" si="1"/>
        <v>40.120186705975534</v>
      </c>
      <c r="F13" s="4">
        <f t="shared" si="2"/>
        <v>179460780</v>
      </c>
      <c r="G13" s="4">
        <f t="shared" si="3"/>
        <v>4473079.3830845002</v>
      </c>
    </row>
    <row r="14" spans="1:8" x14ac:dyDescent="0.25">
      <c r="A14" s="2" t="s">
        <v>19</v>
      </c>
      <c r="B14" s="2">
        <v>250</v>
      </c>
      <c r="C14" s="2">
        <v>350</v>
      </c>
      <c r="D14" s="3">
        <f t="shared" si="0"/>
        <v>3432.31</v>
      </c>
      <c r="E14" s="3">
        <f t="shared" si="1"/>
        <v>72.837243722157964</v>
      </c>
      <c r="F14" s="4">
        <f t="shared" si="2"/>
        <v>429038750</v>
      </c>
      <c r="G14" s="4">
        <f t="shared" si="3"/>
        <v>5890375.9680500003</v>
      </c>
    </row>
    <row r="15" spans="1:8" x14ac:dyDescent="0.25">
      <c r="A15" s="2" t="s">
        <v>20</v>
      </c>
      <c r="B15" s="2">
        <v>1000</v>
      </c>
      <c r="C15" s="2">
        <v>315</v>
      </c>
      <c r="D15" s="3">
        <f t="shared" si="0"/>
        <v>3089.0789999999997</v>
      </c>
      <c r="E15" s="3">
        <f t="shared" si="1"/>
        <v>323.72108320959097</v>
      </c>
      <c r="F15" s="4">
        <f t="shared" si="2"/>
        <v>1544539499.9999998</v>
      </c>
      <c r="G15" s="4">
        <f t="shared" si="3"/>
        <v>4771204.5341204992</v>
      </c>
    </row>
    <row r="16" spans="1:8" x14ac:dyDescent="0.25">
      <c r="A16" s="2" t="s">
        <v>21</v>
      </c>
      <c r="B16" s="2">
        <v>650</v>
      </c>
      <c r="C16" s="2">
        <v>320</v>
      </c>
      <c r="D16" s="3">
        <f t="shared" si="0"/>
        <v>3138.1120000000001</v>
      </c>
      <c r="E16" s="3">
        <f t="shared" si="1"/>
        <v>207.13091183488672</v>
      </c>
      <c r="F16" s="4">
        <f t="shared" si="2"/>
        <v>1019886400</v>
      </c>
      <c r="G16" s="4">
        <f t="shared" si="3"/>
        <v>4923873.4622719996</v>
      </c>
    </row>
  </sheetData>
  <mergeCells count="1">
    <mergeCell ref="A1:G1"/>
  </mergeCells>
  <pageMargins left="1" right="1" top="1.6666666666666667" bottom="1.6666666666666667" header="1" footer="1"/>
  <pageSetup firstPageNumber="4294967295" fitToWidth="0" fitToHeight="0" orientation="portrait" cellComments="asDisplayed" r:id="rId1"/>
  <headerFooter alignWithMargins="0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86"/>
  <sheetViews>
    <sheetView zoomScaleNormal="100" workbookViewId="0">
      <selection activeCell="G10" sqref="G10"/>
    </sheetView>
  </sheetViews>
  <sheetFormatPr defaultRowHeight="15.75" x14ac:dyDescent="0.25"/>
  <cols>
    <col min="1" max="1" width="22" style="5" customWidth="1"/>
    <col min="2" max="3" width="20" style="5" customWidth="1"/>
    <col min="4" max="4" width="21.85546875" style="5" customWidth="1"/>
    <col min="5" max="5" width="20" style="5" customWidth="1"/>
    <col min="6" max="6" width="9.140625" style="5" customWidth="1"/>
    <col min="7" max="7" width="19.5703125" style="5" customWidth="1"/>
    <col min="8" max="10" width="9.140625" style="5" customWidth="1"/>
    <col min="11" max="16384" width="9.140625" style="5"/>
  </cols>
  <sheetData>
    <row r="1" spans="1:10" ht="20.25" thickBot="1" x14ac:dyDescent="0.35">
      <c r="A1" s="83" t="s">
        <v>204</v>
      </c>
      <c r="B1" s="83"/>
      <c r="C1" s="83"/>
      <c r="D1" s="83"/>
      <c r="E1" s="83"/>
    </row>
    <row r="2" spans="1:10" ht="18.75" thickTop="1" thickBot="1" x14ac:dyDescent="0.35">
      <c r="A2" s="49" t="s">
        <v>98</v>
      </c>
    </row>
    <row r="3" spans="1:10" ht="16.5" thickTop="1" x14ac:dyDescent="0.25">
      <c r="B3" s="2" t="s">
        <v>214</v>
      </c>
      <c r="C3" s="2" t="s">
        <v>96</v>
      </c>
      <c r="G3" s="5" t="s">
        <v>93</v>
      </c>
    </row>
    <row r="4" spans="1:10" x14ac:dyDescent="0.25">
      <c r="A4"/>
      <c r="B4" s="23">
        <v>203946</v>
      </c>
      <c r="C4" s="26">
        <v>2300</v>
      </c>
      <c r="G4" s="51">
        <v>299792458</v>
      </c>
    </row>
    <row r="5" spans="1:10" x14ac:dyDescent="0.25">
      <c r="A5"/>
      <c r="B5" s="2" t="s">
        <v>3</v>
      </c>
      <c r="C5" s="2" t="s">
        <v>22</v>
      </c>
      <c r="D5" s="5" t="s">
        <v>33</v>
      </c>
      <c r="E5" s="5" t="s">
        <v>34</v>
      </c>
    </row>
    <row r="6" spans="1:10" x14ac:dyDescent="0.25">
      <c r="A6" s="2"/>
      <c r="B6" s="20">
        <f>B4*G7</f>
        <v>2000027.0408999999</v>
      </c>
      <c r="C6" s="61">
        <f>IFERROR(C4*1000/B6,0)</f>
        <v>1.1499844516927202</v>
      </c>
      <c r="D6" s="20">
        <f>C4*1000*B6</f>
        <v>4600062194070</v>
      </c>
      <c r="E6" s="20">
        <f>IFERROR(D6/C6,0)</f>
        <v>4000108164331.21</v>
      </c>
      <c r="G6" s="5" t="s">
        <v>207</v>
      </c>
    </row>
    <row r="7" spans="1:10" x14ac:dyDescent="0.25">
      <c r="B7" s="5" t="s">
        <v>202</v>
      </c>
      <c r="G7" s="50">
        <v>9.8066499999999994</v>
      </c>
      <c r="J7"/>
    </row>
    <row r="8" spans="1:10" x14ac:dyDescent="0.25">
      <c r="B8" s="30">
        <f>B6/G4</f>
        <v>6.671372102696459E-3</v>
      </c>
      <c r="J8"/>
    </row>
    <row r="9" spans="1:10" x14ac:dyDescent="0.25">
      <c r="J9"/>
    </row>
    <row r="10" spans="1:10" ht="18" thickBot="1" x14ac:dyDescent="0.35">
      <c r="A10" s="49" t="s">
        <v>99</v>
      </c>
      <c r="J10"/>
    </row>
    <row r="11" spans="1:10" ht="16.5" thickTop="1" x14ac:dyDescent="0.25">
      <c r="B11" s="2" t="s">
        <v>214</v>
      </c>
      <c r="C11" s="2" t="s">
        <v>96</v>
      </c>
    </row>
    <row r="12" spans="1:10" x14ac:dyDescent="0.25">
      <c r="B12" s="24">
        <v>960</v>
      </c>
      <c r="C12" s="25">
        <f>(C14*B14)/1000</f>
        <v>0.29543542033151998</v>
      </c>
    </row>
    <row r="13" spans="1:10" x14ac:dyDescent="0.25">
      <c r="B13" s="2" t="s">
        <v>3</v>
      </c>
      <c r="C13" s="2" t="s">
        <v>22</v>
      </c>
      <c r="D13" s="5" t="s">
        <v>33</v>
      </c>
      <c r="E13" s="5" t="s">
        <v>102</v>
      </c>
      <c r="G13"/>
    </row>
    <row r="14" spans="1:10" x14ac:dyDescent="0.25">
      <c r="B14" s="20">
        <f>B12*G7</f>
        <v>9414.384</v>
      </c>
      <c r="C14" s="61">
        <f>E14/D14</f>
        <v>3.1381279999999998E-2</v>
      </c>
      <c r="D14" s="24">
        <v>2824315200</v>
      </c>
      <c r="E14" s="20">
        <f>IFERROR((B14^2),0)</f>
        <v>88630626.099455997</v>
      </c>
      <c r="G14"/>
    </row>
    <row r="15" spans="1:10" x14ac:dyDescent="0.25">
      <c r="A15"/>
      <c r="B15"/>
      <c r="C15"/>
      <c r="D15"/>
      <c r="E15"/>
      <c r="G15"/>
    </row>
    <row r="16" spans="1:10" x14ac:dyDescent="0.25">
      <c r="B16" s="64" t="s">
        <v>97</v>
      </c>
      <c r="C16" s="64"/>
      <c r="G16"/>
    </row>
    <row r="17" spans="1:8" x14ac:dyDescent="0.25">
      <c r="B17" s="5" t="s">
        <v>212</v>
      </c>
      <c r="C17" s="5" t="s">
        <v>100</v>
      </c>
      <c r="D17" s="5" t="s">
        <v>213</v>
      </c>
      <c r="G17"/>
    </row>
    <row r="18" spans="1:8" x14ac:dyDescent="0.25">
      <c r="B18" s="22">
        <v>1</v>
      </c>
      <c r="C18" s="22">
        <v>0</v>
      </c>
      <c r="D18" s="21">
        <f>C12/(B18*G7)</f>
        <v>3.0126028799999999E-2</v>
      </c>
      <c r="G18"/>
      <c r="H18"/>
    </row>
    <row r="19" spans="1:8" x14ac:dyDescent="0.25">
      <c r="G19"/>
      <c r="H19"/>
    </row>
    <row r="21" spans="1:8" ht="18" thickBot="1" x14ac:dyDescent="0.35">
      <c r="A21" s="49" t="s">
        <v>94</v>
      </c>
    </row>
    <row r="22" spans="1:8" ht="16.5" thickTop="1" x14ac:dyDescent="0.25">
      <c r="B22" s="5" t="s">
        <v>33</v>
      </c>
      <c r="C22" s="5" t="s">
        <v>208</v>
      </c>
      <c r="D22" s="5" t="s">
        <v>95</v>
      </c>
    </row>
    <row r="23" spans="1:8" x14ac:dyDescent="0.25">
      <c r="B23" s="29">
        <v>1000000000</v>
      </c>
      <c r="C23" s="55">
        <f>(B23/G4/1000)</f>
        <v>3.3356409519815205E-3</v>
      </c>
      <c r="D23" s="52">
        <f>B23/1000</f>
        <v>1000000</v>
      </c>
    </row>
    <row r="26" spans="1:8" ht="18" thickBot="1" x14ac:dyDescent="0.35">
      <c r="A26" s="49" t="s">
        <v>101</v>
      </c>
    </row>
    <row r="27" spans="1:8" ht="16.5" thickTop="1" x14ac:dyDescent="0.25">
      <c r="B27" s="5" t="s">
        <v>214</v>
      </c>
      <c r="C27" s="2" t="s">
        <v>96</v>
      </c>
    </row>
    <row r="28" spans="1:8" x14ac:dyDescent="0.25">
      <c r="B28" s="28">
        <f>B30/G7</f>
        <v>749335.32127174258</v>
      </c>
      <c r="C28" s="22">
        <v>3800</v>
      </c>
    </row>
    <row r="29" spans="1:8" x14ac:dyDescent="0.25">
      <c r="B29" s="5" t="s">
        <v>3</v>
      </c>
      <c r="C29" s="5" t="s">
        <v>22</v>
      </c>
      <c r="D29" s="5" t="s">
        <v>33</v>
      </c>
      <c r="E29" s="5" t="s">
        <v>102</v>
      </c>
    </row>
    <row r="30" spans="1:8" x14ac:dyDescent="0.25">
      <c r="B30" s="28">
        <f>(2*E30)^0.5</f>
        <v>7348469.2283495339</v>
      </c>
      <c r="C30" s="61">
        <f>IFERROR(C28*1000/B30,0)</f>
        <v>0.51711450125422653</v>
      </c>
      <c r="D30" s="28">
        <f>C28*1000*B30</f>
        <v>27924183067728.23</v>
      </c>
      <c r="E30" s="27">
        <v>27000000000000</v>
      </c>
    </row>
    <row r="31" spans="1:8" x14ac:dyDescent="0.25">
      <c r="B31" s="5" t="s">
        <v>202</v>
      </c>
    </row>
    <row r="32" spans="1:8" x14ac:dyDescent="0.25">
      <c r="B32" s="30">
        <f>B30/G4</f>
        <v>2.4511854892458749E-2</v>
      </c>
    </row>
    <row r="35" spans="1:9" ht="18" thickBot="1" x14ac:dyDescent="0.35">
      <c r="A35" s="49" t="s">
        <v>115</v>
      </c>
    </row>
    <row r="36" spans="1:9" ht="16.5" thickTop="1" x14ac:dyDescent="0.25">
      <c r="A36" s="57"/>
      <c r="G36"/>
    </row>
    <row r="37" spans="1:9" x14ac:dyDescent="0.25">
      <c r="B37" s="39" t="s">
        <v>114</v>
      </c>
      <c r="C37" s="35">
        <v>2130</v>
      </c>
      <c r="D37" s="31"/>
      <c r="E37" s="31"/>
      <c r="F37"/>
      <c r="G37"/>
    </row>
    <row r="38" spans="1:9" x14ac:dyDescent="0.25">
      <c r="B38" s="39" t="s">
        <v>108</v>
      </c>
      <c r="C38" s="36">
        <v>8.3144621000000001</v>
      </c>
      <c r="D38" s="31"/>
      <c r="E38" s="31"/>
      <c r="F38"/>
    </row>
    <row r="39" spans="1:9" ht="16.5" thickBot="1" x14ac:dyDescent="0.3">
      <c r="B39" s="39" t="s">
        <v>113</v>
      </c>
      <c r="C39" s="14" t="s">
        <v>29</v>
      </c>
      <c r="D39" s="40">
        <f>IFERROR(VLOOKUP(C39,Database!$G$2:$J$59,4,FALSE),"-")</f>
        <v>2.02</v>
      </c>
      <c r="E39" s="41">
        <f>D39/1000</f>
        <v>2.0200000000000001E-3</v>
      </c>
      <c r="F39"/>
    </row>
    <row r="40" spans="1:9" ht="17.25" thickTop="1" thickBot="1" x14ac:dyDescent="0.3">
      <c r="B40" s="39"/>
      <c r="C40" s="14" t="s">
        <v>77</v>
      </c>
      <c r="D40" s="40">
        <f>IFERROR(VLOOKUP(C40,Database!$G$2:$J$59,4,FALSE),"-")</f>
        <v>18.02</v>
      </c>
      <c r="E40" s="41">
        <f>D40/1000</f>
        <v>1.8020000000000001E-2</v>
      </c>
    </row>
    <row r="41" spans="1:9" ht="16.5" thickTop="1" x14ac:dyDescent="0.25">
      <c r="B41" s="39" t="s">
        <v>205</v>
      </c>
      <c r="C41" s="15">
        <v>1.3979999999999999</v>
      </c>
      <c r="D41"/>
      <c r="E41" s="31"/>
    </row>
    <row r="42" spans="1:9" ht="16.5" thickBot="1" x14ac:dyDescent="0.3">
      <c r="B42" s="39" t="s">
        <v>112</v>
      </c>
      <c r="C42" s="37">
        <v>0</v>
      </c>
      <c r="D42" s="56">
        <f>IFERROR(C42*101320,101.32)</f>
        <v>0</v>
      </c>
      <c r="E42" s="31"/>
    </row>
    <row r="43" spans="1:9" ht="17.25" thickTop="1" thickBot="1" x14ac:dyDescent="0.3">
      <c r="B43" s="39" t="s">
        <v>111</v>
      </c>
      <c r="C43" s="37">
        <v>500</v>
      </c>
      <c r="D43" s="56">
        <f>C43*101320</f>
        <v>50660000</v>
      </c>
      <c r="E43" s="31"/>
    </row>
    <row r="44" spans="1:9" ht="16.5" thickTop="1" x14ac:dyDescent="0.25">
      <c r="B44" s="39"/>
      <c r="C44" s="31"/>
      <c r="D44" s="31"/>
      <c r="E44" s="31"/>
    </row>
    <row r="45" spans="1:9" x14ac:dyDescent="0.25">
      <c r="B45" s="39" t="s">
        <v>110</v>
      </c>
      <c r="C45" s="38">
        <f>(C37*C38)/E39</f>
        <v>8767229.8381188121</v>
      </c>
      <c r="D45" s="31"/>
      <c r="E45" s="38">
        <f>(C37*C38)/E40</f>
        <v>982786.03068812436</v>
      </c>
      <c r="H45" s="42"/>
      <c r="I45" s="42"/>
    </row>
    <row r="46" spans="1:9" x14ac:dyDescent="0.25">
      <c r="B46" s="39" t="s">
        <v>206</v>
      </c>
      <c r="C46" s="38">
        <f>(2*C41)/(C41-1)</f>
        <v>7.0251256281407048</v>
      </c>
      <c r="D46" s="31"/>
      <c r="E46"/>
      <c r="H46" s="42"/>
      <c r="I46" s="42"/>
    </row>
    <row r="47" spans="1:9" x14ac:dyDescent="0.25">
      <c r="B47" s="39" t="s">
        <v>210</v>
      </c>
      <c r="C47" s="38">
        <f>(C41-1)/C41</f>
        <v>0.284692417739628</v>
      </c>
      <c r="D47" s="31"/>
      <c r="E47"/>
    </row>
    <row r="48" spans="1:9" customFormat="1" x14ac:dyDescent="0.25">
      <c r="A48" s="5"/>
      <c r="B48" s="39" t="s">
        <v>109</v>
      </c>
      <c r="C48" s="38">
        <f>1-((D42/D43)^C47)</f>
        <v>1</v>
      </c>
      <c r="D48" s="31"/>
      <c r="F48" s="5"/>
    </row>
    <row r="49" spans="1:7" x14ac:dyDescent="0.25">
      <c r="A49"/>
      <c r="B49"/>
      <c r="C49"/>
      <c r="D49"/>
      <c r="E49"/>
      <c r="F49"/>
    </row>
    <row r="50" spans="1:7" ht="16.5" thickBot="1" x14ac:dyDescent="0.3">
      <c r="B50" s="39"/>
      <c r="C50" s="18" t="str">
        <f>C39</f>
        <v>LqdHydrogen</v>
      </c>
      <c r="D50" s="31"/>
      <c r="E50" s="18" t="str">
        <f>C40</f>
        <v>Water (CRP)</v>
      </c>
      <c r="G50" s="43"/>
    </row>
    <row r="51" spans="1:7" ht="16.5" thickTop="1" x14ac:dyDescent="0.25">
      <c r="B51" s="39" t="s">
        <v>3</v>
      </c>
      <c r="C51" s="53">
        <f>(C45*C46*C48)^0.5</f>
        <v>7847.9864311534302</v>
      </c>
      <c r="D51" s="31"/>
      <c r="E51" s="53">
        <f>(E45*C46*C48)^0.5</f>
        <v>2627.5835536031618</v>
      </c>
    </row>
    <row r="52" spans="1:7" x14ac:dyDescent="0.25">
      <c r="B52" s="39" t="s">
        <v>195</v>
      </c>
      <c r="C52" s="53">
        <f>C51/9.80655</f>
        <v>800.28006089332439</v>
      </c>
      <c r="D52" s="31"/>
      <c r="E52" s="53">
        <f>E51/9.80655</f>
        <v>267.94168730115706</v>
      </c>
    </row>
    <row r="53" spans="1:7" x14ac:dyDescent="0.25">
      <c r="E53" s="42"/>
      <c r="F53" s="42"/>
    </row>
    <row r="54" spans="1:7" x14ac:dyDescent="0.25">
      <c r="E54" s="42"/>
    </row>
    <row r="55" spans="1:7" ht="18" thickBot="1" x14ac:dyDescent="0.35">
      <c r="A55" s="49" t="s">
        <v>197</v>
      </c>
    </row>
    <row r="56" spans="1:7" ht="16.5" thickTop="1" x14ac:dyDescent="0.25"/>
    <row r="57" spans="1:7" x14ac:dyDescent="0.25">
      <c r="C57" s="5" t="s">
        <v>195</v>
      </c>
      <c r="D57" s="5" t="s">
        <v>208</v>
      </c>
      <c r="E57" s="5" t="s">
        <v>201</v>
      </c>
    </row>
    <row r="58" spans="1:7" x14ac:dyDescent="0.25">
      <c r="D58" s="47">
        <v>60</v>
      </c>
      <c r="E58" s="58">
        <v>0.75</v>
      </c>
    </row>
    <row r="60" spans="1:7" x14ac:dyDescent="0.25">
      <c r="B60" s="5" t="s">
        <v>211</v>
      </c>
      <c r="E60" s="5" t="s">
        <v>200</v>
      </c>
    </row>
    <row r="61" spans="1:7" ht="16.5" thickBot="1" x14ac:dyDescent="0.3">
      <c r="B61" s="45" t="s">
        <v>196</v>
      </c>
      <c r="C61" s="60">
        <v>800</v>
      </c>
      <c r="D61" s="59">
        <f>D58</f>
        <v>60</v>
      </c>
      <c r="E61" s="48">
        <f t="shared" ref="E61:E67" si="0">($C$61/C61)^$E$58</f>
        <v>1</v>
      </c>
    </row>
    <row r="62" spans="1:7" ht="16.5" thickTop="1" x14ac:dyDescent="0.25">
      <c r="B62" s="45" t="s">
        <v>163</v>
      </c>
      <c r="C62" s="60">
        <v>606</v>
      </c>
      <c r="D62" s="54">
        <f t="shared" ref="D62:D67" si="1">$D$58*(($C$61/C62)^$E$58)</f>
        <v>73.894867118770051</v>
      </c>
      <c r="E62" s="48">
        <f t="shared" si="0"/>
        <v>1.2315811186461676</v>
      </c>
    </row>
    <row r="63" spans="1:7" x14ac:dyDescent="0.25">
      <c r="B63" s="45" t="s">
        <v>121</v>
      </c>
      <c r="C63" s="60">
        <v>400</v>
      </c>
      <c r="D63" s="54">
        <f t="shared" si="1"/>
        <v>100.90756983044574</v>
      </c>
      <c r="E63" s="48">
        <f t="shared" si="0"/>
        <v>1.681792830507429</v>
      </c>
    </row>
    <row r="64" spans="1:7" x14ac:dyDescent="0.25">
      <c r="B64" s="45" t="s">
        <v>165</v>
      </c>
      <c r="C64" s="60">
        <v>253</v>
      </c>
      <c r="D64" s="54">
        <f t="shared" si="1"/>
        <v>142.27491989040757</v>
      </c>
      <c r="E64" s="48">
        <f t="shared" si="0"/>
        <v>2.3712486648401261</v>
      </c>
    </row>
    <row r="65" spans="2:5" x14ac:dyDescent="0.25">
      <c r="B65" s="44" t="s">
        <v>191</v>
      </c>
      <c r="C65" s="60">
        <v>370</v>
      </c>
      <c r="D65" s="54">
        <f t="shared" si="1"/>
        <v>106.98365906113423</v>
      </c>
      <c r="E65" s="48">
        <f t="shared" si="0"/>
        <v>1.7830609843522371</v>
      </c>
    </row>
    <row r="66" spans="2:5" x14ac:dyDescent="0.25">
      <c r="B66" s="44" t="s">
        <v>126</v>
      </c>
      <c r="C66" s="60">
        <v>283</v>
      </c>
      <c r="D66" s="54">
        <f t="shared" si="1"/>
        <v>130.80637609525397</v>
      </c>
      <c r="E66" s="48">
        <f t="shared" si="0"/>
        <v>2.1801062682542329</v>
      </c>
    </row>
    <row r="67" spans="2:5" x14ac:dyDescent="0.25">
      <c r="B67" s="44" t="s">
        <v>128</v>
      </c>
      <c r="C67" s="60">
        <v>253</v>
      </c>
      <c r="D67" s="54">
        <f t="shared" si="1"/>
        <v>142.27491989040757</v>
      </c>
      <c r="E67" s="48">
        <f t="shared" si="0"/>
        <v>2.3712486648401261</v>
      </c>
    </row>
    <row r="68" spans="2:5" x14ac:dyDescent="0.25">
      <c r="C68" s="60"/>
      <c r="D68" s="42"/>
      <c r="E68" s="46"/>
    </row>
    <row r="69" spans="2:5" x14ac:dyDescent="0.25">
      <c r="B69" s="5" t="s">
        <v>90</v>
      </c>
      <c r="C69" s="60"/>
      <c r="D69" s="42"/>
      <c r="E69" s="46"/>
    </row>
    <row r="70" spans="2:5" ht="16.5" thickBot="1" x14ac:dyDescent="0.3">
      <c r="B70" s="45" t="s">
        <v>52</v>
      </c>
      <c r="C70" s="60">
        <v>800</v>
      </c>
      <c r="D70" s="59">
        <f>D58</f>
        <v>60</v>
      </c>
      <c r="E70" s="48">
        <f>($C$61/C70)^$E$58</f>
        <v>1</v>
      </c>
    </row>
    <row r="71" spans="2:5" ht="16.5" thickTop="1" x14ac:dyDescent="0.25">
      <c r="B71" s="45" t="s">
        <v>53</v>
      </c>
      <c r="C71" s="60">
        <v>606</v>
      </c>
      <c r="D71" s="54">
        <f>$D$58*(($C$70/C71)^$E$58)</f>
        <v>73.894867118770051</v>
      </c>
      <c r="E71" s="48">
        <f>($C$70/C71)^$E$58</f>
        <v>1.2315811186461676</v>
      </c>
    </row>
    <row r="72" spans="2:5" x14ac:dyDescent="0.25">
      <c r="B72" s="45" t="s">
        <v>199</v>
      </c>
      <c r="C72" s="60">
        <v>253</v>
      </c>
      <c r="D72" s="54">
        <f>$D$58*(($C$70/C72)^$E$58)</f>
        <v>142.27491989040757</v>
      </c>
      <c r="E72" s="48">
        <f>($C$70/C72)^$E$58</f>
        <v>2.3712486648401261</v>
      </c>
    </row>
    <row r="73" spans="2:5" x14ac:dyDescent="0.25">
      <c r="B73" s="44" t="s">
        <v>198</v>
      </c>
      <c r="C73" s="60">
        <v>370</v>
      </c>
      <c r="D73" s="54">
        <f>$D$58*(($C$70/C73)^$E$58)</f>
        <v>106.98365906113423</v>
      </c>
      <c r="E73" s="48">
        <f>($C$70/C73)^$E$58</f>
        <v>1.7830609843522371</v>
      </c>
    </row>
    <row r="74" spans="2:5" x14ac:dyDescent="0.25">
      <c r="B74" s="44" t="s">
        <v>203</v>
      </c>
      <c r="C74" s="60">
        <v>283</v>
      </c>
      <c r="D74" s="54">
        <f>$D$58*(($C$70/C74)^$E$58)</f>
        <v>130.80637609525397</v>
      </c>
      <c r="E74" s="48">
        <f>($C$70/C74)^$E$58</f>
        <v>2.1801062682542329</v>
      </c>
    </row>
    <row r="75" spans="2:5" x14ac:dyDescent="0.25">
      <c r="B75" s="44" t="s">
        <v>51</v>
      </c>
      <c r="C75" s="60">
        <v>253</v>
      </c>
      <c r="D75" s="54">
        <f>$D$58*(($C$70/C75)^$E$58)</f>
        <v>142.27491989040757</v>
      </c>
      <c r="E75" s="48">
        <f>($C$70/C75)^$E$58</f>
        <v>2.3712486648401261</v>
      </c>
    </row>
    <row r="81" spans="1:3" ht="18" thickBot="1" x14ac:dyDescent="0.35">
      <c r="A81" s="49" t="s">
        <v>220</v>
      </c>
    </row>
    <row r="82" spans="1:3" ht="16.5" thickTop="1" x14ac:dyDescent="0.25">
      <c r="B82" t="s">
        <v>216</v>
      </c>
      <c r="C82" s="62">
        <v>4000</v>
      </c>
    </row>
    <row r="83" spans="1:3" x14ac:dyDescent="0.25">
      <c r="B83" t="s">
        <v>218</v>
      </c>
      <c r="C83" s="35">
        <v>1600</v>
      </c>
    </row>
    <row r="84" spans="1:3" x14ac:dyDescent="0.25">
      <c r="B84" t="s">
        <v>217</v>
      </c>
      <c r="C84" s="35">
        <v>1000</v>
      </c>
    </row>
    <row r="85" spans="1:3" x14ac:dyDescent="0.25">
      <c r="B85" t="s">
        <v>215</v>
      </c>
      <c r="C85" s="63">
        <f>C82*(1-(C84/C83))</f>
        <v>1500</v>
      </c>
    </row>
    <row r="86" spans="1:3" x14ac:dyDescent="0.25">
      <c r="B86" t="s">
        <v>219</v>
      </c>
      <c r="C86" s="38">
        <f>C83/C84</f>
        <v>1.6</v>
      </c>
    </row>
  </sheetData>
  <mergeCells count="1">
    <mergeCell ref="A1:E1"/>
  </mergeCells>
  <pageMargins left="0.7" right="0.7" top="0.75" bottom="0.75" header="0.3" footer="0.3"/>
  <pageSetup orientation="portrait" horizontalDpi="0" verticalDpi="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Database!$G$2:$G$59</xm:f>
          </x14:formula1>
          <xm:sqref>C39:C40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Engine Config Calc</vt:lpstr>
      <vt:lpstr>Database</vt:lpstr>
      <vt:lpstr>Samples</vt:lpstr>
      <vt:lpstr>Energy calcs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Jadon Wade</dc:creator>
  <cp:lastModifiedBy>Jadon Wade</cp:lastModifiedBy>
  <dcterms:created xsi:type="dcterms:W3CDTF">2017-11-07T05:21:15Z</dcterms:created>
  <dcterms:modified xsi:type="dcterms:W3CDTF">2025-11-12T05:30:28Z</dcterms:modified>
</cp:coreProperties>
</file>