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itHub\RationalResources\"/>
    </mc:Choice>
  </mc:AlternateContent>
  <bookViews>
    <workbookView xWindow="31620" yWindow="0" windowWidth="17700" windowHeight="10485" activeTab="2"/>
  </bookViews>
  <sheets>
    <sheet name="Calc (Kg)" sheetId="6" r:id="rId1"/>
    <sheet name="Calc (Moles)" sheetId="7" r:id="rId2"/>
    <sheet name="Database" sheetId="1" r:id="rId3"/>
    <sheet name="Ionization energy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F114" i="1" l="1"/>
  <c r="E20" i="7"/>
  <c r="D20" i="7"/>
  <c r="B20" i="7"/>
  <c r="F105" i="1" l="1"/>
  <c r="F103" i="1"/>
  <c r="G97" i="1"/>
  <c r="D97" i="1"/>
  <c r="P6" i="1" l="1"/>
  <c r="P7" i="1"/>
  <c r="P5" i="1"/>
  <c r="F83" i="1"/>
  <c r="F99" i="1"/>
  <c r="D99" i="1"/>
  <c r="F97" i="1"/>
  <c r="F106" i="1"/>
  <c r="F111" i="1"/>
  <c r="F72" i="1"/>
  <c r="F25" i="1"/>
  <c r="F86" i="1"/>
  <c r="F71" i="1"/>
  <c r="P8" i="1" l="1"/>
  <c r="Q6" i="1" l="1"/>
  <c r="Q7" i="1"/>
  <c r="Q5" i="1"/>
  <c r="H29" i="7" l="1"/>
  <c r="I29" i="7"/>
  <c r="H8" i="7"/>
  <c r="H10" i="7" s="1"/>
  <c r="I8" i="7"/>
  <c r="I10" i="7" s="1"/>
  <c r="H9" i="7"/>
  <c r="I9" i="7"/>
  <c r="H14" i="7"/>
  <c r="H15" i="7" s="1"/>
  <c r="I14" i="7"/>
  <c r="I15" i="7" s="1"/>
  <c r="H22" i="7"/>
  <c r="H24" i="7" s="1"/>
  <c r="I22" i="7"/>
  <c r="I24" i="7" s="1"/>
  <c r="H23" i="7"/>
  <c r="I23" i="7"/>
  <c r="F98" i="1"/>
  <c r="F57" i="1"/>
  <c r="E57" i="1"/>
  <c r="F56" i="1"/>
  <c r="E56" i="1"/>
  <c r="F21" i="1"/>
  <c r="E21" i="1"/>
  <c r="F113" i="1"/>
  <c r="F108" i="1"/>
  <c r="F109" i="1"/>
  <c r="F110" i="1"/>
  <c r="F107" i="1"/>
  <c r="F104" i="1"/>
  <c r="F101" i="1"/>
  <c r="F102" i="1"/>
  <c r="F100" i="1"/>
  <c r="F90" i="1"/>
  <c r="F91" i="1"/>
  <c r="F93" i="1"/>
  <c r="F94" i="1"/>
  <c r="F95" i="1"/>
  <c r="F96" i="1"/>
  <c r="F89" i="1"/>
  <c r="F87" i="1"/>
  <c r="F85" i="1"/>
  <c r="F84" i="1"/>
  <c r="F82" i="1"/>
  <c r="F74" i="1"/>
  <c r="F75" i="1"/>
  <c r="F76" i="1"/>
  <c r="F77" i="1"/>
  <c r="F78" i="1"/>
  <c r="F79" i="1"/>
  <c r="F80" i="1"/>
  <c r="F73" i="1"/>
  <c r="F70" i="1"/>
  <c r="F60" i="1"/>
  <c r="F61" i="1"/>
  <c r="F62" i="1"/>
  <c r="F63" i="1"/>
  <c r="F64" i="1"/>
  <c r="F65" i="1"/>
  <c r="F66" i="1"/>
  <c r="F67" i="1"/>
  <c r="F68" i="1"/>
  <c r="F69" i="1"/>
  <c r="F58" i="1"/>
  <c r="F59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40" i="1"/>
  <c r="F38" i="1"/>
  <c r="F37" i="1"/>
  <c r="F29" i="1"/>
  <c r="F30" i="1"/>
  <c r="F31" i="1"/>
  <c r="F32" i="1"/>
  <c r="F33" i="1"/>
  <c r="F34" i="1"/>
  <c r="F35" i="1"/>
  <c r="F36" i="1"/>
  <c r="F28" i="1"/>
  <c r="F26" i="1"/>
  <c r="F20" i="1"/>
  <c r="F22" i="1"/>
  <c r="F23" i="1"/>
  <c r="F24" i="1"/>
  <c r="F19" i="1"/>
  <c r="F17" i="1"/>
  <c r="F18" i="1"/>
  <c r="F16" i="1"/>
  <c r="F11" i="1"/>
  <c r="F12" i="1"/>
  <c r="F13" i="1"/>
  <c r="F14" i="1"/>
  <c r="F15" i="1"/>
  <c r="F10" i="1"/>
  <c r="F4" i="1"/>
  <c r="F5" i="1"/>
  <c r="F6" i="1"/>
  <c r="F7" i="1"/>
  <c r="F8" i="1"/>
  <c r="F3" i="1"/>
  <c r="E19" i="1"/>
  <c r="E95" i="1"/>
  <c r="E49" i="1"/>
  <c r="E41" i="1"/>
  <c r="H25" i="7" l="1"/>
  <c r="H11" i="7"/>
  <c r="I11" i="7"/>
  <c r="I25" i="7"/>
  <c r="E53" i="1" l="1"/>
  <c r="E15" i="1"/>
  <c r="E87" i="1"/>
  <c r="E91" i="1"/>
  <c r="E30" i="1"/>
  <c r="D77" i="1"/>
  <c r="D76" i="1"/>
  <c r="D100" i="1" l="1"/>
  <c r="C19" i="6" l="1"/>
  <c r="D19" i="6"/>
  <c r="E19" i="6"/>
  <c r="F19" i="6"/>
  <c r="G19" i="6"/>
  <c r="B19" i="6"/>
  <c r="C9" i="6"/>
  <c r="D9" i="6"/>
  <c r="E9" i="6"/>
  <c r="F9" i="6"/>
  <c r="G9" i="6"/>
  <c r="B9" i="6"/>
  <c r="G10" i="1" l="1"/>
  <c r="E70" i="1"/>
  <c r="G110" i="1"/>
  <c r="D5" i="1" l="1"/>
  <c r="G14" i="7"/>
  <c r="G15" i="7" s="1"/>
  <c r="F14" i="7"/>
  <c r="F15" i="7" s="1"/>
  <c r="E14" i="7"/>
  <c r="E15" i="7" s="1"/>
  <c r="D14" i="7"/>
  <c r="D15" i="7" s="1"/>
  <c r="C14" i="7"/>
  <c r="C15" i="7" s="1"/>
  <c r="B14" i="7"/>
  <c r="B15" i="7" s="1"/>
  <c r="B16" i="7" l="1"/>
  <c r="C28" i="7"/>
  <c r="C29" i="7" s="1"/>
  <c r="D28" i="7"/>
  <c r="D29" i="7" s="1"/>
  <c r="E28" i="7"/>
  <c r="E29" i="7" s="1"/>
  <c r="F28" i="7"/>
  <c r="F29" i="7" s="1"/>
  <c r="G28" i="7"/>
  <c r="G29" i="7" s="1"/>
  <c r="B28" i="7"/>
  <c r="B29" i="7" s="1"/>
  <c r="C22" i="7"/>
  <c r="D22" i="7"/>
  <c r="E22" i="7"/>
  <c r="F22" i="7"/>
  <c r="G22" i="7"/>
  <c r="C23" i="7"/>
  <c r="D23" i="7"/>
  <c r="E23" i="7"/>
  <c r="F23" i="7"/>
  <c r="G23" i="7"/>
  <c r="B23" i="7"/>
  <c r="B22" i="7"/>
  <c r="L9" i="8"/>
  <c r="C9" i="8" s="1"/>
  <c r="L10" i="8"/>
  <c r="C10" i="8" s="1"/>
  <c r="L11" i="8"/>
  <c r="C11" i="8" s="1"/>
  <c r="L12" i="8"/>
  <c r="C12" i="8" s="1"/>
  <c r="L13" i="8"/>
  <c r="C13" i="8" s="1"/>
  <c r="L14" i="8"/>
  <c r="C14" i="8" s="1"/>
  <c r="L15" i="8"/>
  <c r="C15" i="8" s="1"/>
  <c r="L5" i="8"/>
  <c r="C5" i="8" s="1"/>
  <c r="L6" i="8"/>
  <c r="C6" i="8" s="1"/>
  <c r="L7" i="8"/>
  <c r="C7" i="8" s="1"/>
  <c r="L8" i="8"/>
  <c r="C8" i="8" s="1"/>
  <c r="L4" i="8"/>
  <c r="C4" i="8" s="1"/>
  <c r="B5" i="8"/>
  <c r="B6" i="8"/>
  <c r="B7" i="8"/>
  <c r="B8" i="8"/>
  <c r="B9" i="8"/>
  <c r="B10" i="8"/>
  <c r="B11" i="8"/>
  <c r="B12" i="8"/>
  <c r="B13" i="8"/>
  <c r="B14" i="8"/>
  <c r="B15" i="8"/>
  <c r="B4" i="8"/>
  <c r="K5" i="8"/>
  <c r="J5" i="8"/>
  <c r="K6" i="8"/>
  <c r="J6" i="8"/>
  <c r="K7" i="8"/>
  <c r="J7" i="8"/>
  <c r="K8" i="8"/>
  <c r="J8" i="8"/>
  <c r="K9" i="8"/>
  <c r="J9" i="8"/>
  <c r="K10" i="8"/>
  <c r="J10" i="8"/>
  <c r="K11" i="8"/>
  <c r="J11" i="8"/>
  <c r="K12" i="8"/>
  <c r="J12" i="8"/>
  <c r="K13" i="8"/>
  <c r="J13" i="8"/>
  <c r="K14" i="8"/>
  <c r="J14" i="8"/>
  <c r="K15" i="8"/>
  <c r="J15" i="8"/>
  <c r="J4" i="8"/>
  <c r="K4" i="8"/>
  <c r="E60" i="1"/>
  <c r="E5" i="8"/>
  <c r="E6" i="8"/>
  <c r="E7" i="8"/>
  <c r="E8" i="8"/>
  <c r="E9" i="8"/>
  <c r="E10" i="8"/>
  <c r="E11" i="8"/>
  <c r="E12" i="8"/>
  <c r="E13" i="8"/>
  <c r="E14" i="8"/>
  <c r="E15" i="8"/>
  <c r="E4" i="8"/>
  <c r="B30" i="7" l="1"/>
  <c r="G13" i="8"/>
  <c r="F13" i="8"/>
  <c r="G14" i="8"/>
  <c r="F14" i="8"/>
  <c r="G15" i="8"/>
  <c r="F15" i="8"/>
  <c r="G10" i="8"/>
  <c r="F10" i="8"/>
  <c r="G11" i="8"/>
  <c r="F11" i="8"/>
  <c r="G12" i="8"/>
  <c r="F12" i="8"/>
  <c r="G5" i="8"/>
  <c r="F5" i="8"/>
  <c r="G6" i="8"/>
  <c r="F6" i="8"/>
  <c r="G7" i="8"/>
  <c r="F7" i="8"/>
  <c r="G8" i="8"/>
  <c r="F8" i="8"/>
  <c r="G9" i="8"/>
  <c r="F9" i="8"/>
  <c r="F4" i="8"/>
  <c r="G4" i="8"/>
  <c r="F18" i="8" l="1"/>
  <c r="F19" i="8" s="1"/>
  <c r="G18" i="8"/>
  <c r="E64" i="1"/>
  <c r="D88" i="1" l="1"/>
  <c r="F88" i="1" s="1"/>
  <c r="E58" i="1"/>
  <c r="E55" i="1"/>
  <c r="E86" i="1"/>
  <c r="E88" i="1"/>
  <c r="E18" i="1"/>
  <c r="L6" i="6" l="1"/>
  <c r="J8" i="6" s="1"/>
  <c r="L7" i="6" s="1"/>
  <c r="L8" i="6" s="1"/>
  <c r="J9" i="6" s="1"/>
  <c r="L16" i="6"/>
  <c r="J18" i="6" s="1"/>
  <c r="L17" i="6" s="1"/>
  <c r="L9" i="6" l="1"/>
  <c r="J10" i="6" s="1"/>
  <c r="L18" i="6"/>
  <c r="L19" i="6" s="1"/>
  <c r="E40" i="1"/>
  <c r="J20" i="6" l="1"/>
  <c r="J19" i="6"/>
  <c r="E127" i="1"/>
  <c r="F18" i="6" l="1"/>
  <c r="F8" i="6"/>
  <c r="G24" i="7"/>
  <c r="G9" i="7"/>
  <c r="G8" i="7"/>
  <c r="G10" i="7" s="1"/>
  <c r="E20" i="1"/>
  <c r="F10" i="6" l="1"/>
  <c r="F11" i="6"/>
  <c r="F20" i="6"/>
  <c r="F21" i="6"/>
  <c r="G25" i="7"/>
  <c r="G11" i="7"/>
  <c r="E107" i="1" l="1"/>
  <c r="E38" i="1" l="1"/>
  <c r="E37" i="1"/>
  <c r="E17" i="1" l="1"/>
  <c r="E81" i="1"/>
  <c r="E93" i="1" l="1"/>
  <c r="F81" i="1" l="1"/>
  <c r="E76" i="1" l="1"/>
  <c r="D43" i="1" l="1"/>
  <c r="E112" i="1" l="1"/>
  <c r="E111" i="1"/>
  <c r="E42" i="1"/>
  <c r="E22" i="1" l="1"/>
  <c r="E34" i="1"/>
  <c r="E48" i="1"/>
  <c r="E24" i="1" l="1"/>
  <c r="E61" i="1"/>
  <c r="E54" i="1"/>
  <c r="E33" i="1"/>
  <c r="E46" i="1" l="1"/>
  <c r="E47" i="1"/>
  <c r="E66" i="1"/>
  <c r="E26" i="1"/>
  <c r="E102" i="1"/>
  <c r="E137" i="1" l="1"/>
  <c r="E138" i="1"/>
  <c r="E29" i="1" l="1"/>
  <c r="E104" i="1" l="1"/>
  <c r="E110" i="1" l="1"/>
  <c r="E51" i="1"/>
  <c r="D51" i="1"/>
  <c r="E109" i="1"/>
  <c r="E85" i="1"/>
  <c r="E80" i="1"/>
  <c r="E10" i="1"/>
  <c r="D110" i="1" l="1"/>
  <c r="D10" i="1"/>
  <c r="E113" i="1"/>
  <c r="E73" i="1" l="1"/>
  <c r="D73" i="1"/>
  <c r="E39" i="1"/>
  <c r="E43" i="1"/>
  <c r="E65" i="1"/>
  <c r="E63" i="1"/>
  <c r="E122" i="1"/>
  <c r="E132" i="1" l="1"/>
  <c r="D9" i="7" l="1"/>
  <c r="E9" i="7"/>
  <c r="F9" i="7"/>
  <c r="B9" i="7"/>
  <c r="C9" i="7"/>
  <c r="B8" i="7"/>
  <c r="C8" i="7"/>
  <c r="D8" i="7"/>
  <c r="E8" i="7"/>
  <c r="F8" i="7"/>
  <c r="E100" i="1" l="1"/>
  <c r="E99" i="1"/>
  <c r="E44" i="1"/>
  <c r="E83" i="1"/>
  <c r="E31" i="1"/>
  <c r="E106" i="1"/>
  <c r="E98" i="1"/>
  <c r="E28" i="1"/>
  <c r="E32" i="1"/>
  <c r="E36" i="1"/>
  <c r="E74" i="1"/>
  <c r="E27" i="1"/>
  <c r="E25" i="1"/>
  <c r="E97" i="1"/>
  <c r="E89" i="1"/>
  <c r="E94" i="1"/>
  <c r="E103" i="1"/>
  <c r="E108" i="1"/>
  <c r="E71" i="1"/>
  <c r="E72" i="1"/>
  <c r="C18" i="6" l="1"/>
  <c r="C21" i="6" s="1"/>
  <c r="D18" i="6"/>
  <c r="D21" i="6" s="1"/>
  <c r="E18" i="6"/>
  <c r="E21" i="6" s="1"/>
  <c r="G18" i="6"/>
  <c r="G21" i="6" s="1"/>
  <c r="C8" i="6"/>
  <c r="C11" i="6" s="1"/>
  <c r="E8" i="6"/>
  <c r="E11" i="6" s="1"/>
  <c r="G8" i="6"/>
  <c r="G11" i="6" s="1"/>
  <c r="B18" i="6"/>
  <c r="B21" i="6" s="1"/>
  <c r="E148" i="1"/>
  <c r="E149" i="1"/>
  <c r="E150" i="1"/>
  <c r="E151" i="1"/>
  <c r="E152" i="1"/>
  <c r="E140" i="1"/>
  <c r="E141" i="1"/>
  <c r="B8" i="6" s="1"/>
  <c r="B11" i="6" s="1"/>
  <c r="E142" i="1"/>
  <c r="E143" i="1"/>
  <c r="E144" i="1"/>
  <c r="E145" i="1"/>
  <c r="E146" i="1"/>
  <c r="E147" i="1"/>
  <c r="E118" i="1"/>
  <c r="E119" i="1"/>
  <c r="E120" i="1"/>
  <c r="E121" i="1"/>
  <c r="E123" i="1"/>
  <c r="E124" i="1"/>
  <c r="E125" i="1"/>
  <c r="E126" i="1"/>
  <c r="E128" i="1"/>
  <c r="E129" i="1"/>
  <c r="E130" i="1"/>
  <c r="E131" i="1"/>
  <c r="E133" i="1"/>
  <c r="E134" i="1"/>
  <c r="E135" i="1"/>
  <c r="E136" i="1"/>
  <c r="D8" i="6" s="1"/>
  <c r="D11" i="6" s="1"/>
  <c r="E139" i="1"/>
  <c r="E117" i="1"/>
  <c r="D7" i="1" l="1"/>
  <c r="E7" i="1"/>
  <c r="E6" i="1"/>
  <c r="E8" i="1"/>
  <c r="D10" i="6"/>
  <c r="E10" i="6"/>
  <c r="C20" i="6"/>
  <c r="G10" i="6"/>
  <c r="C10" i="7"/>
  <c r="D10" i="7"/>
  <c r="E10" i="7"/>
  <c r="F10" i="7"/>
  <c r="F24" i="7"/>
  <c r="C24" i="7" l="1"/>
  <c r="E11" i="7"/>
  <c r="C11" i="7"/>
  <c r="F11" i="7"/>
  <c r="D11" i="7"/>
  <c r="C25" i="7" l="1"/>
  <c r="E3" i="1"/>
  <c r="E12" i="1" l="1"/>
  <c r="E77" i="1"/>
  <c r="E11" i="1"/>
  <c r="E82" i="1"/>
  <c r="E4" i="1" l="1"/>
  <c r="E92" i="1" l="1"/>
  <c r="F92" i="1" s="1"/>
  <c r="D6" i="1"/>
  <c r="B24" i="7"/>
  <c r="E105" i="1"/>
  <c r="E35" i="1"/>
  <c r="E96" i="1"/>
  <c r="E75" i="1"/>
  <c r="E101" i="1"/>
  <c r="E79" i="1"/>
  <c r="E45" i="1"/>
  <c r="E24" i="7"/>
  <c r="B10" i="7"/>
  <c r="B12" i="7" s="1"/>
  <c r="E69" i="1"/>
  <c r="E78" i="1"/>
  <c r="E59" i="1"/>
  <c r="E62" i="1"/>
  <c r="E67" i="1"/>
  <c r="B10" i="6" s="1"/>
  <c r="E68" i="1"/>
  <c r="E50" i="1"/>
  <c r="E14" i="1"/>
  <c r="E84" i="1"/>
  <c r="E90" i="1"/>
  <c r="E13" i="1"/>
  <c r="D24" i="7"/>
  <c r="B26" i="7" l="1"/>
  <c r="B25" i="7"/>
  <c r="E25" i="7"/>
  <c r="E20" i="6"/>
  <c r="F25" i="7"/>
  <c r="G20" i="6"/>
  <c r="D25" i="7"/>
  <c r="D20" i="6"/>
  <c r="B20" i="6"/>
  <c r="B11" i="7"/>
  <c r="C10" i="6"/>
  <c r="B12" i="6" s="1"/>
  <c r="E5" i="1"/>
  <c r="E52" i="1"/>
  <c r="E23" i="1"/>
  <c r="B22" i="6" l="1"/>
  <c r="C34" i="7"/>
  <c r="D36" i="7" s="1"/>
  <c r="B34" i="7"/>
  <c r="D78" i="1"/>
  <c r="C26" i="6" l="1"/>
  <c r="B26" i="6"/>
</calcChain>
</file>

<file path=xl/comments1.xml><?xml version="1.0" encoding="utf-8"?>
<comments xmlns="http://schemas.openxmlformats.org/spreadsheetml/2006/main">
  <authors>
    <author>Jade</author>
  </authors>
  <commentList>
    <comment ref="B8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Or Chemicals[2.0828] + Aluminium[9.2] + HTPB[0.1]</t>
        </r>
      </text>
    </comment>
    <comment ref="B25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Na3Mg4CaO6 + CaSO4.(H2O)2 + N6</t>
        </r>
      </text>
    </comment>
    <comment ref="B35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R = light Lanthanides
OG Loparite = (R,Na,Sr,Ca)(Ti,Nb,Ta,Fe)O3</t>
        </r>
      </text>
    </comment>
    <comment ref="B42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Carboxyl group ( C(O)OH ) + R-group ( C[n].H[2n+1] ) --&gt; Iso-butane ( (CH3)3CH )</t>
        </r>
      </text>
    </comment>
    <comment ref="B95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Rather, just this minimum portion of the Thiokol complex chain, HS(CH2CH2OCH2OCH2CH2SS)n</t>
        </r>
      </text>
    </comment>
    <comment ref="B96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R is any rare earth element including Scandium, Yttrium and any of the Lanthanide group</t>
        </r>
      </text>
    </comment>
    <comment ref="B98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Any Lanthanide, preferrably heavy ones</t>
        </r>
      </text>
    </comment>
    <comment ref="B105" authorId="0" shapeId="0">
      <text>
        <r>
          <rPr>
            <b/>
            <sz val="9"/>
            <color indexed="81"/>
            <rFont val="Tahoma"/>
            <charset val="1"/>
          </rPr>
          <t>Jade:</t>
        </r>
        <r>
          <rPr>
            <sz val="9"/>
            <color indexed="81"/>
            <rFont val="Tahoma"/>
            <charset val="1"/>
          </rPr>
          <t xml:space="preserve">
Assumed living microbe.
A chunk of DNA. Uses average of molar mass of the 4 nucleobases + Deoxyribose + custom Organophosphate PO4.(C3H5)3</t>
        </r>
      </text>
    </comment>
  </commentList>
</comments>
</file>

<file path=xl/sharedStrings.xml><?xml version="1.0" encoding="utf-8"?>
<sst xmlns="http://schemas.openxmlformats.org/spreadsheetml/2006/main" count="608" uniqueCount="500">
  <si>
    <t>Resource</t>
  </si>
  <si>
    <t>Real world chemical</t>
  </si>
  <si>
    <t>LiquidFuel</t>
  </si>
  <si>
    <t>Dodecane (C12H26)</t>
  </si>
  <si>
    <t>Oxidizer</t>
  </si>
  <si>
    <t>MonoPropellant</t>
  </si>
  <si>
    <t>Hydrazine (N2H4)</t>
  </si>
  <si>
    <t>ArgonGas</t>
  </si>
  <si>
    <t>Ar</t>
  </si>
  <si>
    <t>XenonGas</t>
  </si>
  <si>
    <t>Xe</t>
  </si>
  <si>
    <t>CO2</t>
  </si>
  <si>
    <t>Methane</t>
  </si>
  <si>
    <t>CH4</t>
  </si>
  <si>
    <t>Ammonia</t>
  </si>
  <si>
    <t>NH3</t>
  </si>
  <si>
    <t>H2O</t>
  </si>
  <si>
    <t>LqdCO2</t>
  </si>
  <si>
    <t>LqdMethane</t>
  </si>
  <si>
    <t>LqdAmmonia</t>
  </si>
  <si>
    <t>Gypsum</t>
  </si>
  <si>
    <t>Hydrates</t>
  </si>
  <si>
    <t>Minerals</t>
  </si>
  <si>
    <t>ExoticMinerals</t>
  </si>
  <si>
    <t>RareMetals</t>
  </si>
  <si>
    <t>Silicates</t>
  </si>
  <si>
    <t>Substrate</t>
  </si>
  <si>
    <t>Alumina</t>
  </si>
  <si>
    <t>Monazite</t>
  </si>
  <si>
    <t>Al2O3</t>
  </si>
  <si>
    <t>Phosphorus</t>
  </si>
  <si>
    <t>P</t>
  </si>
  <si>
    <t>Carbon</t>
  </si>
  <si>
    <t>C</t>
  </si>
  <si>
    <t>Aluminium</t>
  </si>
  <si>
    <t>Al</t>
  </si>
  <si>
    <t>Rock</t>
  </si>
  <si>
    <t>CarbonDioxide</t>
  </si>
  <si>
    <t>Nitrogen</t>
  </si>
  <si>
    <t>Ore</t>
  </si>
  <si>
    <t>Oxygen</t>
  </si>
  <si>
    <t>Blutonium</t>
  </si>
  <si>
    <t>Gemstones</t>
  </si>
  <si>
    <t>GrayWater</t>
  </si>
  <si>
    <t>Hexagen</t>
  </si>
  <si>
    <t>Hydrokerbon</t>
  </si>
  <si>
    <t>Minerite</t>
  </si>
  <si>
    <t>Nitronite</t>
  </si>
  <si>
    <t>Oxium</t>
  </si>
  <si>
    <t>PreciousMetals</t>
  </si>
  <si>
    <t>Zeonium</t>
  </si>
  <si>
    <t>Explodium</t>
  </si>
  <si>
    <t>Hydrogen</t>
  </si>
  <si>
    <t>Propellium</t>
  </si>
  <si>
    <t>Pb</t>
  </si>
  <si>
    <t>Slag</t>
  </si>
  <si>
    <t>Inputs</t>
  </si>
  <si>
    <t>Outputs</t>
  </si>
  <si>
    <t>Net kg/s</t>
  </si>
  <si>
    <t>Gross kg/s</t>
  </si>
  <si>
    <t>I/O Ratio</t>
  </si>
  <si>
    <t>Bias</t>
  </si>
  <si>
    <t>LqdOxygen</t>
  </si>
  <si>
    <t>LqdNitrogen</t>
  </si>
  <si>
    <t>LqdHydrogen</t>
  </si>
  <si>
    <t>SolidFuel</t>
  </si>
  <si>
    <t>Amonium Perchlorate</t>
  </si>
  <si>
    <t>NH4ClO4</t>
  </si>
  <si>
    <t>Aluminum</t>
  </si>
  <si>
    <t>Notation</t>
  </si>
  <si>
    <t>mass (g/mol)</t>
  </si>
  <si>
    <t>%</t>
  </si>
  <si>
    <t>Moles</t>
  </si>
  <si>
    <t>Mass (g/mol)</t>
  </si>
  <si>
    <t>Gross (g/mol)</t>
  </si>
  <si>
    <t>Ratio (for cfg)</t>
  </si>
  <si>
    <t>Convert-O-Tron (Moles)</t>
  </si>
  <si>
    <t>Convert-O-Tron (Kilograms)</t>
  </si>
  <si>
    <t>Density (kg)</t>
  </si>
  <si>
    <t>Net (g/mol)</t>
  </si>
  <si>
    <t>Blue items are drop-down selectors. Orange fields are inputs. Only type into the orange fields.</t>
  </si>
  <si>
    <t>Name (dropdown)</t>
  </si>
  <si>
    <t>__WBI__</t>
  </si>
  <si>
    <t>Atmosphere</t>
  </si>
  <si>
    <t>CompressedAtmosphere</t>
  </si>
  <si>
    <t>ElectroPlasma</t>
  </si>
  <si>
    <t>Raptium</t>
  </si>
  <si>
    <t>RHK1</t>
  </si>
  <si>
    <t>FusionPellets</t>
  </si>
  <si>
    <t>Equipment</t>
  </si>
  <si>
    <t>Konkrete</t>
  </si>
  <si>
    <t>Aurum</t>
  </si>
  <si>
    <t>SRMFuel</t>
  </si>
  <si>
    <t>Compost</t>
  </si>
  <si>
    <t>FreshAir</t>
  </si>
  <si>
    <t>StaleAir</t>
  </si>
  <si>
    <t>ResearchKits</t>
  </si>
  <si>
    <t>Snacks</t>
  </si>
  <si>
    <t>Soil</t>
  </si>
  <si>
    <t>Water (CRP)</t>
  </si>
  <si>
    <t>Water (WBI)</t>
  </si>
  <si>
    <t>Dirt</t>
  </si>
  <si>
    <t>Materialkits</t>
  </si>
  <si>
    <t>SpecializedParts</t>
  </si>
  <si>
    <t>Polymers</t>
  </si>
  <si>
    <t>RefinedExotics</t>
  </si>
  <si>
    <t>Chemicals</t>
  </si>
  <si>
    <t>Colony Supplies</t>
  </si>
  <si>
    <t>EnrichedUranium</t>
  </si>
  <si>
    <t>MetallicOre</t>
  </si>
  <si>
    <t>Organics</t>
  </si>
  <si>
    <t>Recyclables</t>
  </si>
  <si>
    <t>Machinery</t>
  </si>
  <si>
    <t>Uraninite</t>
  </si>
  <si>
    <t>UO2</t>
  </si>
  <si>
    <t>Fertilizer</t>
  </si>
  <si>
    <t>Supplies</t>
  </si>
  <si>
    <t>Sand (SiO2)</t>
  </si>
  <si>
    <t>U</t>
  </si>
  <si>
    <t>Hematite (Fe2O3)</t>
  </si>
  <si>
    <t>Mulch</t>
  </si>
  <si>
    <t>Lithium</t>
  </si>
  <si>
    <t>Li</t>
  </si>
  <si>
    <t>Glykerol</t>
  </si>
  <si>
    <t>RocketParts</t>
  </si>
  <si>
    <t>ScrapMetal</t>
  </si>
  <si>
    <t>HydrazineVodka</t>
  </si>
  <si>
    <t>Coolant</t>
  </si>
  <si>
    <t>LqdDeuterium</t>
  </si>
  <si>
    <t>LqdHe3</t>
  </si>
  <si>
    <t>3He</t>
  </si>
  <si>
    <t>D / 2H</t>
  </si>
  <si>
    <t>NuclearSaltWater</t>
  </si>
  <si>
    <t>FissionPellets</t>
  </si>
  <si>
    <t>MetallicHydrogen</t>
  </si>
  <si>
    <t>MMH</t>
  </si>
  <si>
    <t>NTO</t>
  </si>
  <si>
    <t>UDMH</t>
  </si>
  <si>
    <t>Hydrazine</t>
  </si>
  <si>
    <t>N2H4</t>
  </si>
  <si>
    <t>UH25</t>
  </si>
  <si>
    <t>Hydrazine + UDMH (50:50)</t>
  </si>
  <si>
    <t>Hydrazine + UDMH (25:75)</t>
  </si>
  <si>
    <t>H2NN(CH3)2</t>
  </si>
  <si>
    <t>Spodumene</t>
  </si>
  <si>
    <t>LiAl(SiO3)2</t>
  </si>
  <si>
    <t>Glycerol (C3H8O3)</t>
  </si>
  <si>
    <t>Depleted [Fuel/Uranium]</t>
  </si>
  <si>
    <t>Deuterium</t>
  </si>
  <si>
    <t>NuclearFuel</t>
  </si>
  <si>
    <t>NuclearWaste</t>
  </si>
  <si>
    <t>Silicon</t>
  </si>
  <si>
    <t>Si</t>
  </si>
  <si>
    <t>Chlorine</t>
  </si>
  <si>
    <t>Fluorine</t>
  </si>
  <si>
    <t>N2O4</t>
  </si>
  <si>
    <r>
      <t>CH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(NH)NH</t>
    </r>
    <r>
      <rPr>
        <vertAlign val="subscript"/>
        <sz val="12"/>
        <color theme="1"/>
        <rFont val="Calibri"/>
        <family val="2"/>
        <scheme val="minor"/>
      </rPr>
      <t>2</t>
    </r>
  </si>
  <si>
    <t>LqdHe</t>
  </si>
  <si>
    <t>Helium-3</t>
  </si>
  <si>
    <t>Helium</t>
  </si>
  <si>
    <t>He / 4He</t>
  </si>
  <si>
    <t>Kerosene</t>
  </si>
  <si>
    <t>Ethanol</t>
  </si>
  <si>
    <t>C2H6O</t>
  </si>
  <si>
    <t>CarbonMonoxide</t>
  </si>
  <si>
    <t>LqdCO</t>
  </si>
  <si>
    <t>CO</t>
  </si>
  <si>
    <t>H2O2</t>
  </si>
  <si>
    <t>HTP</t>
  </si>
  <si>
    <t>Ethanol75</t>
  </si>
  <si>
    <t>C2H6O[3] + H2O[1]</t>
  </si>
  <si>
    <t>Aerozine50</t>
  </si>
  <si>
    <t>Does not support most of CRP (KSPI-E) or any of WBI.</t>
  </si>
  <si>
    <t>Supports stock, CRP (greater fractions of NFT, USI, RealFuels) and WBI.</t>
  </si>
  <si>
    <t>Does not support most of CRP (KSPI-E)</t>
  </si>
  <si>
    <t>Supports stock and CRP (only popular resources where correlated IRL resources can be found).</t>
  </si>
  <si>
    <t>Food (TAC)</t>
  </si>
  <si>
    <t>Waste</t>
  </si>
  <si>
    <t>WasteWater</t>
  </si>
  <si>
    <t>Metals</t>
  </si>
  <si>
    <t>Metal (EL)</t>
  </si>
  <si>
    <t>MetalOre (EL)</t>
  </si>
  <si>
    <t>Iron (Fe2)</t>
  </si>
  <si>
    <t>Metasilicate (SiO3)</t>
  </si>
  <si>
    <t>Molten Quartz</t>
  </si>
  <si>
    <t>SiO2</t>
  </si>
  <si>
    <t>Beryllium</t>
  </si>
  <si>
    <t>Be</t>
  </si>
  <si>
    <t>Beryl Oxide</t>
  </si>
  <si>
    <t>Be2O3</t>
  </si>
  <si>
    <t>Boron</t>
  </si>
  <si>
    <t>B</t>
  </si>
  <si>
    <t>Plutonium</t>
  </si>
  <si>
    <t>Pu</t>
  </si>
  <si>
    <t>mole/gram scalar</t>
  </si>
  <si>
    <t>FissileFuel</t>
  </si>
  <si>
    <t>FissilePebbles</t>
  </si>
  <si>
    <t>UF4 + 2LiF + BeF2</t>
  </si>
  <si>
    <t>U + SiC</t>
  </si>
  <si>
    <t>Thorium</t>
  </si>
  <si>
    <t>Th</t>
  </si>
  <si>
    <t>Caesium</t>
  </si>
  <si>
    <t>Cs</t>
  </si>
  <si>
    <t>FissionPulses</t>
  </si>
  <si>
    <t>(Fe + Be2O3)2.5 + (U)1.1</t>
  </si>
  <si>
    <t>hr</t>
  </si>
  <si>
    <t>min</t>
  </si>
  <si>
    <t>sec</t>
  </si>
  <si>
    <t>Rate</t>
  </si>
  <si>
    <t>u/sec</t>
  </si>
  <si>
    <t>Total</t>
  </si>
  <si>
    <t>Cycle</t>
  </si>
  <si>
    <t>C60</t>
  </si>
  <si>
    <t>Octaazacubane</t>
  </si>
  <si>
    <t>N8+Ar6</t>
  </si>
  <si>
    <t>LithiumSaltWater</t>
  </si>
  <si>
    <t>Buckminsterfullerene</t>
  </si>
  <si>
    <t>units</t>
  </si>
  <si>
    <t>LqdFluorine</t>
  </si>
  <si>
    <t>Biotite (Fe3+AlSi3O10+F2) + Calcite (CaCO3)</t>
  </si>
  <si>
    <t>Fe</t>
  </si>
  <si>
    <t>Ca</t>
  </si>
  <si>
    <t>O</t>
  </si>
  <si>
    <t>F</t>
  </si>
  <si>
    <t>Neon</t>
  </si>
  <si>
    <t>Sodium</t>
  </si>
  <si>
    <t>Magnesium</t>
  </si>
  <si>
    <t>Sulfur</t>
  </si>
  <si>
    <t>Argon</t>
  </si>
  <si>
    <t>Potassium</t>
  </si>
  <si>
    <t>Iron</t>
  </si>
  <si>
    <t>1st</t>
  </si>
  <si>
    <t>Calcium</t>
  </si>
  <si>
    <t>Titanium</t>
  </si>
  <si>
    <t>Scandium</t>
  </si>
  <si>
    <t>Vanadium</t>
  </si>
  <si>
    <t>Chromium</t>
  </si>
  <si>
    <t>Manganese</t>
  </si>
  <si>
    <t>Cobalt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</si>
  <si>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</si>
  <si>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</si>
  <si>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</si>
  <si>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</si>
  <si>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</si>
  <si>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</si>
  <si>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</si>
  <si>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</si>
  <si>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</si>
  <si>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</si>
  <si>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</si>
  <si>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</si>
  <si>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Niobium</t>
  </si>
  <si>
    <t>Molybdenum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</si>
  <si>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</si>
  <si>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</si>
  <si>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</si>
  <si>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</si>
  <si>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</si>
  <si>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</si>
  <si>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</si>
  <si>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</si>
  <si>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</si>
  <si>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</si>
  <si>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</si>
  <si>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</si>
  <si>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Cesium</t>
  </si>
  <si>
    <t>Barium</t>
  </si>
  <si>
    <t>Lanthanum</t>
  </si>
  <si>
    <t>Cerium</t>
  </si>
  <si>
    <t>Praesodymium</t>
  </si>
  <si>
    <t>Neodymium</t>
  </si>
  <si>
    <t>Promethium</t>
  </si>
  <si>
    <t>Samarium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</si>
  <si>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</si>
  <si>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</si>
  <si>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</si>
  <si>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</si>
  <si>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</si>
  <si>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</si>
  <si>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</si>
  <si>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</si>
  <si>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</si>
  <si>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</si>
  <si>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</si>
  <si>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</si>
  <si>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</si>
  <si>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</si>
  <si>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</si>
  <si>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</si>
  <si>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</si>
  <si>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</si>
  <si>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</si>
  <si>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</si>
  <si>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</si>
  <si>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</si>
  <si>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</si>
  <si>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</si>
  <si>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Ra</t>
  </si>
  <si>
    <t>At</t>
  </si>
  <si>
    <t>Po</t>
  </si>
  <si>
    <t>Bi</t>
  </si>
  <si>
    <t>Tl</t>
  </si>
  <si>
    <t>Hg</t>
  </si>
  <si>
    <t>Au</t>
  </si>
  <si>
    <t>Pt</t>
  </si>
  <si>
    <t>Ir</t>
  </si>
  <si>
    <t>Os</t>
  </si>
  <si>
    <t>Re</t>
  </si>
  <si>
    <t>W</t>
  </si>
  <si>
    <t>Ta</t>
  </si>
  <si>
    <t>Hf</t>
  </si>
  <si>
    <t>Lu</t>
  </si>
  <si>
    <t>Yb</t>
  </si>
  <si>
    <t>Tm</t>
  </si>
  <si>
    <t>Er</t>
  </si>
  <si>
    <t>Ho</t>
  </si>
  <si>
    <t>Dy</t>
  </si>
  <si>
    <t>Tb</t>
  </si>
  <si>
    <t>Gd</t>
  </si>
  <si>
    <t>Eu</t>
  </si>
  <si>
    <t>Sm</t>
  </si>
  <si>
    <t>Pm</t>
  </si>
  <si>
    <t>Nd</t>
  </si>
  <si>
    <t>Pr</t>
  </si>
  <si>
    <t>Ce</t>
  </si>
  <si>
    <t>La</t>
  </si>
  <si>
    <t>Ba</t>
  </si>
  <si>
    <t>Te</t>
  </si>
  <si>
    <t>Sb</t>
  </si>
  <si>
    <t>Sn</t>
  </si>
  <si>
    <t>In</t>
  </si>
  <si>
    <t>Cd</t>
  </si>
  <si>
    <t>Ag</t>
  </si>
  <si>
    <t>Pd</t>
  </si>
  <si>
    <t>Rh</t>
  </si>
  <si>
    <t>Ru</t>
  </si>
  <si>
    <t>Tc</t>
  </si>
  <si>
    <t>Mo</t>
  </si>
  <si>
    <t>Nb</t>
  </si>
  <si>
    <t>Zr</t>
  </si>
  <si>
    <t>Sr</t>
  </si>
  <si>
    <t>Rb</t>
  </si>
  <si>
    <t>Kr</t>
  </si>
  <si>
    <t>Br</t>
  </si>
  <si>
    <t>Se</t>
  </si>
  <si>
    <t>As</t>
  </si>
  <si>
    <t>Ge</t>
  </si>
  <si>
    <t>Ga</t>
  </si>
  <si>
    <t>Zn</t>
  </si>
  <si>
    <t>Cu</t>
  </si>
  <si>
    <t>Nickel</t>
  </si>
  <si>
    <t>Ni</t>
  </si>
  <si>
    <t>Co</t>
  </si>
  <si>
    <t>Mn</t>
  </si>
  <si>
    <t>Cr</t>
  </si>
  <si>
    <t>V</t>
  </si>
  <si>
    <t>Ti</t>
  </si>
  <si>
    <t>Sc</t>
  </si>
  <si>
    <t>Cl</t>
  </si>
  <si>
    <t>S</t>
  </si>
  <si>
    <t>Mg</t>
  </si>
  <si>
    <t>Na</t>
  </si>
  <si>
    <t>Ne</t>
  </si>
  <si>
    <t>N</t>
  </si>
  <si>
    <t>He</t>
  </si>
  <si>
    <t>H</t>
  </si>
  <si>
    <t>Symbol</t>
  </si>
  <si>
    <t>Name</t>
  </si>
  <si>
    <t>Qty</t>
  </si>
  <si>
    <t>g/mol</t>
  </si>
  <si>
    <t>Energy</t>
  </si>
  <si>
    <t>Weight</t>
  </si>
  <si>
    <t>kW</t>
  </si>
  <si>
    <t>J</t>
  </si>
  <si>
    <t>Pre-mult</t>
  </si>
  <si>
    <t>LqdArgon</t>
  </si>
  <si>
    <t>Rn</t>
  </si>
  <si>
    <t>Fr</t>
  </si>
  <si>
    <t>Ac</t>
  </si>
  <si>
    <t>Pa</t>
  </si>
  <si>
    <t>Np</t>
  </si>
  <si>
    <t>Am</t>
  </si>
  <si>
    <t>Cm</t>
  </si>
  <si>
    <t>Bk</t>
  </si>
  <si>
    <t>Cf</t>
  </si>
  <si>
    <t>Es</t>
  </si>
  <si>
    <t>Fm</t>
  </si>
  <si>
    <t>Francium</t>
  </si>
  <si>
    <t>Radium</t>
  </si>
  <si>
    <t>Actinium</t>
  </si>
  <si>
    <t>Protactinium</t>
  </si>
  <si>
    <t>Uranium</t>
  </si>
  <si>
    <t>Neptunium</t>
  </si>
  <si>
    <t>Americium</t>
  </si>
  <si>
    <t>Curium</t>
  </si>
  <si>
    <t>Berkelium</t>
  </si>
  <si>
    <t>Californium</t>
  </si>
  <si>
    <t>Einsteinium</t>
  </si>
  <si>
    <t>Fermium</t>
  </si>
  <si>
    <t>Diatomic</t>
  </si>
  <si>
    <t>Y</t>
  </si>
  <si>
    <t>I</t>
  </si>
  <si>
    <t>Resource DB</t>
  </si>
  <si>
    <t>Urea (CO(NH2)2) + Water ((H2O)3)</t>
  </si>
  <si>
    <t>Ionization energy (J)</t>
  </si>
  <si>
    <t>Ionization energy</t>
  </si>
  <si>
    <t>Composition</t>
  </si>
  <si>
    <t>Element</t>
  </si>
  <si>
    <t>Mass</t>
  </si>
  <si>
    <t>Net (kW)</t>
  </si>
  <si>
    <t>Mass (mol)</t>
  </si>
  <si>
    <t>Gross moles</t>
  </si>
  <si>
    <t>FumingButterscotch</t>
  </si>
  <si>
    <t>Iron (Fe)</t>
  </si>
  <si>
    <t>Diborane</t>
  </si>
  <si>
    <t>B2H6</t>
  </si>
  <si>
    <t>Pentaborane</t>
  </si>
  <si>
    <t>B5H9</t>
  </si>
  <si>
    <t>N2F4</t>
  </si>
  <si>
    <t>Dinitrogen Tetrafluoride</t>
  </si>
  <si>
    <t>Aniline</t>
  </si>
  <si>
    <t>C6H5+NH2</t>
  </si>
  <si>
    <t>IWFNA</t>
  </si>
  <si>
    <t>HNO3</t>
  </si>
  <si>
    <t>PSPC</t>
  </si>
  <si>
    <t>HTPB</t>
  </si>
  <si>
    <t>Polystyrene (C8H8)n</t>
  </si>
  <si>
    <t>Isoleucine (C6H13NO2)</t>
  </si>
  <si>
    <t>K</t>
  </si>
  <si>
    <t>Fatty acid complex (C5O2H11)</t>
  </si>
  <si>
    <t>Thiokol + Ammonium Perchlorate (C5H11O2S2 + NH4ClO4)</t>
  </si>
  <si>
    <t>unit cost</t>
  </si>
  <si>
    <t>Lithium6</t>
  </si>
  <si>
    <t>LithiumDeuteride</t>
  </si>
  <si>
    <t>LiD + (H2O)8</t>
  </si>
  <si>
    <t>6Li</t>
  </si>
  <si>
    <t>6LiD</t>
  </si>
  <si>
    <t>D+3He</t>
  </si>
  <si>
    <t>Md</t>
  </si>
  <si>
    <t>No</t>
  </si>
  <si>
    <t>Lr</t>
  </si>
  <si>
    <t>Mendelevium</t>
  </si>
  <si>
    <t>Nobelium</t>
  </si>
  <si>
    <t>Lawrencium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</si>
  <si>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</si>
  <si>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</si>
  <si>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</si>
  <si>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</si>
  <si>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</si>
  <si>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</si>
  <si>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</si>
  <si>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</si>
  <si>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</si>
  <si>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Hn</t>
  </si>
  <si>
    <t>Fl</t>
  </si>
  <si>
    <t>Mc</t>
  </si>
  <si>
    <t>Lv</t>
  </si>
  <si>
    <t>Ts</t>
  </si>
  <si>
    <t>Og</t>
  </si>
  <si>
    <t>Oganesson</t>
  </si>
  <si>
    <t>Tennessine</t>
  </si>
  <si>
    <t>Livermorium</t>
  </si>
  <si>
    <t>Moscovium</t>
  </si>
  <si>
    <t>Flerovium</t>
  </si>
  <si>
    <t>Nihonium</t>
  </si>
  <si>
    <t>Copernicium</t>
  </si>
  <si>
    <t>Roentgium</t>
  </si>
  <si>
    <t>Darmastadtium</t>
  </si>
  <si>
    <t>Meitnerium</t>
  </si>
  <si>
    <t>Hassium</t>
  </si>
  <si>
    <t>Bohrium</t>
  </si>
  <si>
    <t>Seaborgium</t>
  </si>
  <si>
    <t>Dubnium</t>
  </si>
  <si>
    <t>Rutherfordium</t>
  </si>
  <si>
    <t>Gadolinite (R2 + (Fe,Be)3 + Si2O10)</t>
  </si>
  <si>
    <t>(Ce,La,Nd,Th)PO4</t>
  </si>
  <si>
    <t>Arfvedsonite (Na3Mg4FeSi8O22(OH)2) + Fluorite (CaF2)</t>
  </si>
  <si>
    <t>N-P-K concentrate (N22.P2O5.(K2O)3)</t>
  </si>
  <si>
    <t>Ferrihydrite ((Fe2O3)2.(H2O)) + Borax (Na2B4O5(OH)4.(H2O)8) + Noble soup (Ar3Xe)</t>
  </si>
  <si>
    <t>Plain Steel (Fe10C)</t>
  </si>
  <si>
    <t>Minerals + Gypsum + Nitrogen</t>
  </si>
  <si>
    <t>Gypsum (CaSO4.(H2O)2)</t>
  </si>
  <si>
    <t>Pezzottaite (Cs(Be2Li)Al2Si6O18) + Loparite custom (RNbO3)</t>
  </si>
  <si>
    <t>Minerals + Carbon[6]</t>
  </si>
  <si>
    <t>Cholestorol + Skatole + Thiol (C27H46O + C9H9N + CH3SH)</t>
  </si>
  <si>
    <t>Food[4] + Polymers</t>
  </si>
  <si>
    <t>Uranyl Nitrate ((UO2(NO3)2.(H2O)6)</t>
  </si>
  <si>
    <t>(OH)2.(C4H6)45</t>
  </si>
  <si>
    <t>Fuel</t>
  </si>
  <si>
    <t>Binder</t>
  </si>
  <si>
    <t>APCP</t>
  </si>
  <si>
    <t>Ammonium Perchlorate[99] + Aluminium[92] + HTPB[1]</t>
  </si>
  <si>
    <t>zCustom</t>
  </si>
  <si>
    <t>c</t>
  </si>
  <si>
    <t>Polymers + Metals + Chemicals</t>
  </si>
  <si>
    <t>R + Si11</t>
  </si>
  <si>
    <t>R (Yb)</t>
  </si>
  <si>
    <t>Nucleotide custom</t>
  </si>
  <si>
    <t>molar mass (g/mol)</t>
  </si>
  <si>
    <t>density (kg/L)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</si>
</sst>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\ &quot;kg/mol&quot;"/>
    <numFmt numFmtId="165" formatCode="#,##0.000\ &quot;kg/unit&quot;"/>
    <numFmt numFmtId="166" formatCode="#,##0.00\ &quot;g/mol&quot;"/>
    <numFmt numFmtId="167" formatCode="#,##0.000"/>
    <numFmt numFmtId="168" formatCode="0.0000"/>
    <numFmt numFmtId="169" formatCode="0.0000000"/>
    <numFmt numFmtId="170" formatCode="0.00000"/>
    <numFmt numFmtId="171" formatCode="#,##0.0000&quot;:1&quot;"/>
    <numFmt numFmtId="172" formatCode="0.000"/>
    <numFmt numFmtId="173" formatCode="0.0"/>
    <numFmt numFmtId="174" formatCode="0.0%"/>
  </numFmts>
  <fonts count="19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indexed="8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0">
    <xf numFmtId="0" fontId="0" fillId="0" borderId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5" borderId="0" applyNumberFormat="0" applyBorder="0" applyAlignment="0" applyProtection="0"/>
    <xf numFmtId="0" fontId="8" fillId="4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3" fillId="3" borderId="1" xfId="1"/>
    <xf numFmtId="0" fontId="4" fillId="4" borderId="1" xfId="2"/>
    <xf numFmtId="0" fontId="4" fillId="4" borderId="1" xfId="2" applyAlignment="1">
      <alignment horizontal="left"/>
    </xf>
    <xf numFmtId="0" fontId="9" fillId="0" borderId="5" xfId="7"/>
    <xf numFmtId="10" fontId="0" fillId="0" borderId="0" xfId="0" applyNumberFormat="1"/>
    <xf numFmtId="9" fontId="0" fillId="0" borderId="0" xfId="0" applyNumberFormat="1"/>
    <xf numFmtId="168" fontId="4" fillId="4" borderId="1" xfId="2" applyNumberFormat="1"/>
    <xf numFmtId="165" fontId="7" fillId="5" borderId="0" xfId="5" applyNumberFormat="1"/>
    <xf numFmtId="0" fontId="11" fillId="2" borderId="0" xfId="0" applyFont="1" applyFill="1"/>
    <xf numFmtId="0" fontId="10" fillId="0" borderId="0" xfId="8"/>
    <xf numFmtId="0" fontId="12" fillId="0" borderId="0" xfId="0" applyFont="1" applyFill="1" applyAlignment="1"/>
    <xf numFmtId="166" fontId="0" fillId="0" borderId="0" xfId="0" applyNumberFormat="1"/>
    <xf numFmtId="169" fontId="4" fillId="4" borderId="1" xfId="2" applyNumberFormat="1"/>
    <xf numFmtId="171" fontId="4" fillId="4" borderId="1" xfId="2" applyNumberFormat="1" applyAlignment="1"/>
    <xf numFmtId="170" fontId="8" fillId="4" borderId="4" xfId="6" applyNumberFormat="1"/>
    <xf numFmtId="0" fontId="14" fillId="0" borderId="0" xfId="0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8" fillId="4" borderId="4" xfId="6"/>
    <xf numFmtId="165" fontId="5" fillId="0" borderId="2" xfId="3" applyNumberFormat="1" applyAlignment="1"/>
    <xf numFmtId="0" fontId="5" fillId="0" borderId="2" xfId="3"/>
    <xf numFmtId="0" fontId="5" fillId="0" borderId="2" xfId="3" applyAlignment="1"/>
    <xf numFmtId="172" fontId="4" fillId="4" borderId="1" xfId="2" applyNumberFormat="1"/>
    <xf numFmtId="0" fontId="6" fillId="0" borderId="3" xfId="4"/>
    <xf numFmtId="2" fontId="8" fillId="4" borderId="4" xfId="6" applyNumberFormat="1"/>
    <xf numFmtId="165" fontId="0" fillId="0" borderId="0" xfId="0" applyNumberFormat="1" applyFill="1" applyBorder="1"/>
    <xf numFmtId="173" fontId="4" fillId="4" borderId="1" xfId="2" applyNumberFormat="1"/>
    <xf numFmtId="0" fontId="0" fillId="0" borderId="0" xfId="0" applyNumberFormat="1"/>
    <xf numFmtId="11" fontId="0" fillId="0" borderId="0" xfId="0" applyNumberFormat="1"/>
    <xf numFmtId="173" fontId="0" fillId="0" borderId="0" xfId="0" applyNumberFormat="1"/>
    <xf numFmtId="0" fontId="6" fillId="0" borderId="3" xfId="4" applyAlignment="1">
      <alignment horizontal="center"/>
    </xf>
    <xf numFmtId="0" fontId="3" fillId="3" borderId="1" xfId="1" applyNumberFormat="1"/>
    <xf numFmtId="2" fontId="0" fillId="0" borderId="0" xfId="0" applyNumberFormat="1"/>
    <xf numFmtId="0" fontId="1" fillId="7" borderId="0" xfId="0" applyFont="1" applyFill="1"/>
    <xf numFmtId="0" fontId="1" fillId="8" borderId="0" xfId="0" applyFont="1" applyFill="1"/>
    <xf numFmtId="0" fontId="18" fillId="9" borderId="0" xfId="0" applyFont="1" applyFill="1"/>
    <xf numFmtId="0" fontId="0" fillId="10" borderId="0" xfId="0" applyFill="1"/>
    <xf numFmtId="0" fontId="0" fillId="6" borderId="0" xfId="0" applyFill="1"/>
    <xf numFmtId="0" fontId="18" fillId="11" borderId="0" xfId="0" applyFont="1" applyFill="1"/>
    <xf numFmtId="174" fontId="0" fillId="0" borderId="0" xfId="9" applyNumberFormat="1" applyFon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3" xfId="4" applyAlignment="1">
      <alignment horizontal="center"/>
    </xf>
    <xf numFmtId="0" fontId="5" fillId="0" borderId="2" xfId="3" applyAlignment="1">
      <alignment horizontal="center"/>
    </xf>
  </cellXfs>
  <cellStyles count="10">
    <cellStyle name="Calculation" xfId="2" builtinId="22"/>
    <cellStyle name="Explanatory Text" xfId="8" builtinId="53"/>
    <cellStyle name="Good" xfId="5" builtinId="26"/>
    <cellStyle name="Heading 1" xfId="4" builtinId="16"/>
    <cellStyle name="Heading 2" xfId="3" builtinId="17"/>
    <cellStyle name="Input" xfId="1" builtinId="20"/>
    <cellStyle name="Linked Cell" xfId="7" builtinId="24"/>
    <cellStyle name="Normal" xfId="0" builtinId="0"/>
    <cellStyle name="Output" xfId="6" builtinId="21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zoomScaleNormal="100" workbookViewId="0">
      <selection activeCell="C4" sqref="C4"/>
    </sheetView>
  </sheetViews>
  <sheetFormatPr defaultRowHeight="15.75" x14ac:dyDescent="0.25"/>
  <cols>
    <col min="1" max="7" width="16" customWidth="1"/>
    <col min="9" max="9" width="9" customWidth="1"/>
    <col min="11" max="11" width="7.875" customWidth="1"/>
  </cols>
  <sheetData>
    <row r="1" spans="1:12" ht="20.25" thickBot="1" x14ac:dyDescent="0.35">
      <c r="A1" s="54" t="s">
        <v>77</v>
      </c>
      <c r="B1" s="54"/>
      <c r="C1" s="54"/>
      <c r="D1" s="54"/>
      <c r="E1" s="54"/>
      <c r="F1" s="54"/>
      <c r="G1" s="54"/>
    </row>
    <row r="2" spans="1:12" ht="16.5" thickTop="1" x14ac:dyDescent="0.25">
      <c r="A2" s="18" t="s">
        <v>80</v>
      </c>
    </row>
    <row r="3" spans="1:12" x14ac:dyDescent="0.25">
      <c r="A3" s="18" t="s">
        <v>173</v>
      </c>
    </row>
    <row r="4" spans="1:12" x14ac:dyDescent="0.25">
      <c r="A4" s="18" t="s">
        <v>174</v>
      </c>
    </row>
    <row r="5" spans="1:12" ht="18" thickBot="1" x14ac:dyDescent="0.35">
      <c r="A5" s="29" t="s">
        <v>56</v>
      </c>
      <c r="B5" s="29"/>
      <c r="C5" s="29"/>
      <c r="D5" s="29"/>
      <c r="E5" s="29"/>
      <c r="F5" s="29"/>
      <c r="G5" s="29"/>
      <c r="H5" s="30"/>
      <c r="I5" s="30"/>
      <c r="J5" s="30"/>
      <c r="K5" s="30"/>
      <c r="L5" s="30"/>
    </row>
    <row r="6" spans="1:12" ht="16.5" thickTop="1" x14ac:dyDescent="0.25">
      <c r="A6" s="16" t="s">
        <v>75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I6" t="s">
        <v>208</v>
      </c>
      <c r="J6" s="9">
        <v>1</v>
      </c>
      <c r="K6" s="18" t="s">
        <v>209</v>
      </c>
      <c r="L6" s="10">
        <f>J7/J6</f>
        <v>1</v>
      </c>
    </row>
    <row r="7" spans="1:12" x14ac:dyDescent="0.25">
      <c r="A7" s="5" t="s">
        <v>81</v>
      </c>
      <c r="B7" s="17"/>
      <c r="C7" s="17"/>
      <c r="D7" s="17"/>
      <c r="E7" s="17"/>
      <c r="F7" s="17"/>
      <c r="G7" s="17"/>
      <c r="I7" t="s">
        <v>210</v>
      </c>
      <c r="J7" s="9">
        <v>1</v>
      </c>
      <c r="K7" s="18" t="s">
        <v>217</v>
      </c>
      <c r="L7" s="10">
        <f>IF(J8&gt;0,L6-(J8*3600),0)</f>
        <v>0</v>
      </c>
    </row>
    <row r="8" spans="1:12" ht="16.5" thickBot="1" x14ac:dyDescent="0.3">
      <c r="A8" s="5" t="s">
        <v>78</v>
      </c>
      <c r="B8" s="12" t="str">
        <f>IFERROR(VLOOKUP(B7,Database!$A$3:$E$152,5,FALSE),"-")</f>
        <v>-</v>
      </c>
      <c r="C8" s="12" t="str">
        <f>IFERROR(VLOOKUP(C7,Database!$A$3:$E$152,5,FALSE),"-")</f>
        <v>-</v>
      </c>
      <c r="D8" s="12" t="str">
        <f>IFERROR(VLOOKUP(D7,Database!$A$3:$E$152,5,FALSE),"-")</f>
        <v>-</v>
      </c>
      <c r="E8" s="12" t="str">
        <f>IFERROR(VLOOKUP(E7,Database!$A$3:$E$152,5,FALSE),"-")</f>
        <v>-</v>
      </c>
      <c r="F8" s="12" t="str">
        <f>IFERROR(VLOOKUP(F7,Database!$A$3:$E$152,5,FALSE),"-")</f>
        <v>-</v>
      </c>
      <c r="G8" s="12" t="str">
        <f>IFERROR(VLOOKUP(G7,Database!$A$3:$E$152,5,FALSE),"-")</f>
        <v>-</v>
      </c>
      <c r="I8" s="27" t="s">
        <v>211</v>
      </c>
      <c r="J8" s="28">
        <f>ROUNDDOWN(IF(L6&gt;3600,L6/3600,0),0)</f>
        <v>0</v>
      </c>
      <c r="K8" s="18" t="s">
        <v>205</v>
      </c>
      <c r="L8" s="10">
        <f>ROUNDDOWN(IF(L7&gt;0,L7/60,L6/60),0)</f>
        <v>0</v>
      </c>
    </row>
    <row r="9" spans="1:12" ht="17.25" thickTop="1" thickBot="1" x14ac:dyDescent="0.3">
      <c r="A9" s="35" t="s">
        <v>410</v>
      </c>
      <c r="B9" s="12" t="str">
        <f>IFERROR(VLOOKUP(B7,Database!$A$3:$E$152,4,FALSE),"-")</f>
        <v>-</v>
      </c>
      <c r="C9" s="12" t="str">
        <f>IFERROR(VLOOKUP(C7,Database!$A$3:$E$152,4,FALSE),"-")</f>
        <v>-</v>
      </c>
      <c r="D9" s="12" t="str">
        <f>IFERROR(VLOOKUP(D7,Database!$A$3:$E$152,4,FALSE),"-")</f>
        <v>-</v>
      </c>
      <c r="E9" s="12" t="str">
        <f>IFERROR(VLOOKUP(E7,Database!$A$3:$E$152,4,FALSE),"-")</f>
        <v>-</v>
      </c>
      <c r="F9" s="12" t="str">
        <f>IFERROR(VLOOKUP(F7,Database!$A$3:$E$152,4,FALSE),"-")</f>
        <v>-</v>
      </c>
      <c r="G9" s="12" t="str">
        <f>IFERROR(VLOOKUP(G7,Database!$A$3:$E$152,4,FALSE),"-")</f>
        <v>-</v>
      </c>
      <c r="J9" s="28">
        <f>IF(L8&lt;60,L8,0)</f>
        <v>0</v>
      </c>
      <c r="K9" s="18" t="s">
        <v>206</v>
      </c>
      <c r="L9" s="10">
        <f>IF(L6&gt;0,L6-((J8*3600)+(L8*60)),0)</f>
        <v>1</v>
      </c>
    </row>
    <row r="10" spans="1:12" ht="16.5" thickTop="1" x14ac:dyDescent="0.25">
      <c r="A10" s="5" t="s">
        <v>59</v>
      </c>
      <c r="B10" s="15" t="str">
        <f t="shared" ref="B10:G10" si="0">IFERROR(B6*B8,"-")</f>
        <v>-</v>
      </c>
      <c r="C10" s="15" t="str">
        <f t="shared" si="0"/>
        <v>-</v>
      </c>
      <c r="D10" s="15" t="str">
        <f t="shared" si="0"/>
        <v>-</v>
      </c>
      <c r="E10" s="15" t="str">
        <f t="shared" si="0"/>
        <v>-</v>
      </c>
      <c r="F10" s="15" t="str">
        <f t="shared" si="0"/>
        <v>-</v>
      </c>
      <c r="G10" s="15" t="str">
        <f t="shared" si="0"/>
        <v>-</v>
      </c>
      <c r="J10" s="28">
        <f>IF(L9&gt;0,L9,0)</f>
        <v>1</v>
      </c>
      <c r="K10" s="18" t="s">
        <v>207</v>
      </c>
    </row>
    <row r="11" spans="1:12" x14ac:dyDescent="0.25">
      <c r="A11" s="35" t="s">
        <v>411</v>
      </c>
      <c r="B11" s="15" t="str">
        <f t="shared" ref="B11:C11" si="1">IFERROR((B6*(B8*1000))/B9,"-")</f>
        <v>-</v>
      </c>
      <c r="C11" s="15" t="str">
        <f t="shared" si="1"/>
        <v>-</v>
      </c>
      <c r="D11" s="15" t="str">
        <f>IFERROR((D6*(D8*1000))/D9,"-")</f>
        <v>-</v>
      </c>
      <c r="E11" s="15" t="str">
        <f t="shared" ref="E11:G11" si="2">IFERROR((E6*(E8*1000))/E9,"-")</f>
        <v>-</v>
      </c>
      <c r="F11" s="15" t="str">
        <f t="shared" si="2"/>
        <v>-</v>
      </c>
      <c r="G11" s="15" t="str">
        <f t="shared" si="2"/>
        <v>-</v>
      </c>
    </row>
    <row r="12" spans="1:12" x14ac:dyDescent="0.25">
      <c r="A12" s="5" t="s">
        <v>58</v>
      </c>
      <c r="B12" s="23">
        <f>SUM(B10:G10)</f>
        <v>0</v>
      </c>
    </row>
    <row r="15" spans="1:12" ht="18" thickBot="1" x14ac:dyDescent="0.35">
      <c r="A15" s="29" t="s">
        <v>57</v>
      </c>
      <c r="B15" s="29"/>
      <c r="C15" s="29"/>
      <c r="D15" s="29"/>
      <c r="E15" s="29"/>
      <c r="F15" s="29"/>
      <c r="G15" s="29"/>
      <c r="H15" s="30"/>
      <c r="I15" s="30"/>
      <c r="J15" s="30"/>
      <c r="K15" s="30"/>
      <c r="L15" s="30"/>
    </row>
    <row r="16" spans="1:12" ht="16.5" thickTop="1" x14ac:dyDescent="0.25">
      <c r="A16" s="16" t="s">
        <v>75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I16" t="s">
        <v>208</v>
      </c>
      <c r="J16" s="9">
        <v>1</v>
      </c>
      <c r="K16" s="18" t="s">
        <v>209</v>
      </c>
      <c r="L16" s="10">
        <f>J17/J16</f>
        <v>1</v>
      </c>
    </row>
    <row r="17" spans="1:12" x14ac:dyDescent="0.25">
      <c r="A17" s="5" t="s">
        <v>81</v>
      </c>
      <c r="B17" s="17"/>
      <c r="C17" s="17"/>
      <c r="D17" s="17"/>
      <c r="E17" s="17"/>
      <c r="F17" s="17"/>
      <c r="G17" s="17"/>
      <c r="I17" t="s">
        <v>210</v>
      </c>
      <c r="J17" s="9">
        <v>1</v>
      </c>
      <c r="K17" s="18" t="s">
        <v>217</v>
      </c>
      <c r="L17" s="10">
        <f>IF(J18&gt;0,L16-(J18*3600),0)</f>
        <v>0</v>
      </c>
    </row>
    <row r="18" spans="1:12" ht="16.5" thickBot="1" x14ac:dyDescent="0.3">
      <c r="A18" s="5" t="s">
        <v>78</v>
      </c>
      <c r="B18" s="12" t="str">
        <f>IFERROR(VLOOKUP(B17,Database!$A$3:$E$152,5,FALSE),"-")</f>
        <v>-</v>
      </c>
      <c r="C18" s="12" t="str">
        <f>IFERROR(VLOOKUP(C17,Database!$A$3:$E$152,5,FALSE),"-")</f>
        <v>-</v>
      </c>
      <c r="D18" s="12" t="str">
        <f>IFERROR(VLOOKUP(D17,Database!$A$3:$E$152,5,FALSE),"-")</f>
        <v>-</v>
      </c>
      <c r="E18" s="12" t="str">
        <f>IFERROR(VLOOKUP(E17,Database!$A$3:$E$152,5,FALSE),"-")</f>
        <v>-</v>
      </c>
      <c r="F18" s="12" t="str">
        <f>IFERROR(VLOOKUP(F17,Database!$A$3:$E$152,5,FALSE),"-")</f>
        <v>-</v>
      </c>
      <c r="G18" s="12" t="str">
        <f>IFERROR(VLOOKUP(G17,Database!$A$3:$E$152,5,FALSE),"-")</f>
        <v>-</v>
      </c>
      <c r="I18" s="27" t="s">
        <v>211</v>
      </c>
      <c r="J18" s="28">
        <f>ROUNDDOWN(IF(L16&gt;3600,L16/3600,0),0)</f>
        <v>0</v>
      </c>
      <c r="K18" s="18" t="s">
        <v>205</v>
      </c>
      <c r="L18" s="10">
        <f>ROUNDDOWN(IF(L17&gt;0,L17/60,L16/60),0)</f>
        <v>0</v>
      </c>
    </row>
    <row r="19" spans="1:12" ht="17.25" thickTop="1" thickBot="1" x14ac:dyDescent="0.3">
      <c r="A19" s="35" t="s">
        <v>410</v>
      </c>
      <c r="B19" s="12" t="str">
        <f>IFERROR(VLOOKUP(B17,Database!$A$3:$E$152,4,FALSE),"-")</f>
        <v>-</v>
      </c>
      <c r="C19" s="12" t="str">
        <f>IFERROR(VLOOKUP(C17,Database!$A$3:$E$152,4,FALSE),"-")</f>
        <v>-</v>
      </c>
      <c r="D19" s="12" t="str">
        <f>IFERROR(VLOOKUP(D17,Database!$A$3:$E$152,4,FALSE),"-")</f>
        <v>-</v>
      </c>
      <c r="E19" s="12" t="str">
        <f>IFERROR(VLOOKUP(E17,Database!$A$3:$E$152,4,FALSE),"-")</f>
        <v>-</v>
      </c>
      <c r="F19" s="12" t="str">
        <f>IFERROR(VLOOKUP(F17,Database!$A$3:$E$152,4,FALSE),"-")</f>
        <v>-</v>
      </c>
      <c r="G19" s="12" t="str">
        <f>IFERROR(VLOOKUP(G17,Database!$A$3:$E$152,4,FALSE),"-")</f>
        <v>-</v>
      </c>
      <c r="J19" s="28">
        <f>IF(L18&lt;60,L18,0)</f>
        <v>0</v>
      </c>
      <c r="K19" s="18" t="s">
        <v>206</v>
      </c>
      <c r="L19" s="10">
        <f>IF(L16&gt;0,L16-((J18*3600)+(L18*60)),0)</f>
        <v>1</v>
      </c>
    </row>
    <row r="20" spans="1:12" ht="16.5" thickTop="1" x14ac:dyDescent="0.25">
      <c r="A20" s="5" t="s">
        <v>59</v>
      </c>
      <c r="B20" s="21" t="str">
        <f t="shared" ref="B20:G20" si="3">IFERROR(B16*B18,"-")</f>
        <v>-</v>
      </c>
      <c r="C20" s="15" t="str">
        <f t="shared" si="3"/>
        <v>-</v>
      </c>
      <c r="D20" s="21" t="str">
        <f t="shared" si="3"/>
        <v>-</v>
      </c>
      <c r="E20" s="15" t="str">
        <f t="shared" si="3"/>
        <v>-</v>
      </c>
      <c r="F20" s="15" t="str">
        <f t="shared" si="3"/>
        <v>-</v>
      </c>
      <c r="G20" s="15" t="str">
        <f t="shared" si="3"/>
        <v>-</v>
      </c>
      <c r="J20" s="28">
        <f>IF(L19&gt;0,L19,0)</f>
        <v>1</v>
      </c>
      <c r="K20" s="18" t="s">
        <v>207</v>
      </c>
    </row>
    <row r="21" spans="1:12" x14ac:dyDescent="0.25">
      <c r="A21" s="35" t="s">
        <v>411</v>
      </c>
      <c r="B21" s="15" t="str">
        <f t="shared" ref="B21:G21" si="4">IFERROR((B16*(B18*1000))/B19,"-")</f>
        <v>-</v>
      </c>
      <c r="C21" s="15" t="str">
        <f t="shared" si="4"/>
        <v>-</v>
      </c>
      <c r="D21" s="15" t="str">
        <f t="shared" si="4"/>
        <v>-</v>
      </c>
      <c r="E21" s="15" t="str">
        <f t="shared" si="4"/>
        <v>-</v>
      </c>
      <c r="F21" s="15" t="str">
        <f t="shared" si="4"/>
        <v>-</v>
      </c>
      <c r="G21" s="15" t="str">
        <f t="shared" si="4"/>
        <v>-</v>
      </c>
    </row>
    <row r="22" spans="1:12" x14ac:dyDescent="0.25">
      <c r="A22" s="5" t="s">
        <v>58</v>
      </c>
      <c r="B22" s="23">
        <f>SUM(B20:G20)</f>
        <v>0</v>
      </c>
    </row>
    <row r="25" spans="1:12" ht="18" thickBot="1" x14ac:dyDescent="0.35">
      <c r="A25" s="55" t="s">
        <v>60</v>
      </c>
      <c r="B25" s="55"/>
      <c r="C25" s="55"/>
      <c r="D25" s="55"/>
      <c r="E25" s="55"/>
      <c r="F25" s="55"/>
      <c r="G25" s="55"/>
    </row>
    <row r="26" spans="1:12" ht="16.5" thickTop="1" x14ac:dyDescent="0.25">
      <c r="A26" s="5" t="s">
        <v>61</v>
      </c>
      <c r="B26" s="11" t="str">
        <f>IF($B$12&gt;$B$22,"Input excesive",IF($B$12&lt;$B$22,"Output excessive","Equal"))</f>
        <v>Equal</v>
      </c>
      <c r="C26" s="22">
        <f>IF($B$12&gt;$B$22,B12/B22,IF($B$12&lt;$B$22,B22/B12,1))</f>
        <v>1</v>
      </c>
    </row>
    <row r="27" spans="1:12" x14ac:dyDescent="0.25">
      <c r="A27" s="5"/>
    </row>
  </sheetData>
  <mergeCells count="2">
    <mergeCell ref="A1:G1"/>
    <mergeCell ref="A25:G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Database!$A$3:$A$152</xm:f>
          </x14:formula1>
          <xm:sqref>B7:G7</xm:sqref>
        </x14:dataValidation>
        <x14:dataValidation type="list" allowBlank="1" showInputMessage="1" showErrorMessage="1">
          <x14:formula1>
            <xm:f>Database!$A$3:$A$152</xm:f>
          </x14:formula1>
          <xm:sqref>B17:G17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D17" sqref="D17"/>
    </sheetView>
  </sheetViews>
  <sheetFormatPr defaultRowHeight="15.75" x14ac:dyDescent="0.25"/>
  <cols>
    <col min="1" max="9" width="16" customWidth="1"/>
  </cols>
  <sheetData>
    <row r="1" spans="1:12" ht="20.25" thickBot="1" x14ac:dyDescent="0.35">
      <c r="A1" s="54" t="s">
        <v>76</v>
      </c>
      <c r="B1" s="54"/>
      <c r="C1" s="54"/>
      <c r="D1" s="54"/>
      <c r="E1" s="54"/>
      <c r="F1" s="54"/>
      <c r="G1" s="54"/>
      <c r="H1" s="40"/>
      <c r="I1" s="40"/>
    </row>
    <row r="2" spans="1:12" ht="16.5" thickTop="1" x14ac:dyDescent="0.25">
      <c r="A2" s="18" t="s">
        <v>80</v>
      </c>
    </row>
    <row r="3" spans="1:12" x14ac:dyDescent="0.25">
      <c r="A3" s="18" t="s">
        <v>175</v>
      </c>
    </row>
    <row r="4" spans="1:12" x14ac:dyDescent="0.25">
      <c r="A4" s="18" t="s">
        <v>172</v>
      </c>
    </row>
    <row r="5" spans="1:12" ht="18" thickBot="1" x14ac:dyDescent="0.35">
      <c r="A5" s="29" t="s">
        <v>56</v>
      </c>
      <c r="B5" s="29"/>
      <c r="C5" s="29"/>
      <c r="D5" s="29"/>
      <c r="E5" s="29"/>
      <c r="F5" s="29"/>
      <c r="G5" s="29"/>
      <c r="H5" s="29"/>
      <c r="I5" s="29"/>
      <c r="L5" s="1"/>
    </row>
    <row r="6" spans="1:12" ht="16.5" thickTop="1" x14ac:dyDescent="0.25">
      <c r="A6" s="5" t="s">
        <v>72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</row>
    <row r="7" spans="1:12" x14ac:dyDescent="0.25">
      <c r="A7" s="5" t="s">
        <v>81</v>
      </c>
      <c r="B7" s="17"/>
      <c r="C7" s="17"/>
      <c r="D7" s="17"/>
      <c r="E7" s="17"/>
      <c r="F7" s="17"/>
      <c r="G7" s="17"/>
      <c r="H7" s="17"/>
      <c r="I7" s="17"/>
    </row>
    <row r="8" spans="1:12" ht="16.5" thickBot="1" x14ac:dyDescent="0.3">
      <c r="A8" s="5" t="s">
        <v>73</v>
      </c>
      <c r="B8" s="12" t="str">
        <f>IFERROR(VLOOKUP(B7,Database!$A$3:$E$113,4,FALSE),"-")</f>
        <v>-</v>
      </c>
      <c r="C8" s="12" t="str">
        <f>IFERROR(VLOOKUP(C7,Database!$A$3:$E$113,4,FALSE),"-")</f>
        <v>-</v>
      </c>
      <c r="D8" s="12" t="str">
        <f>IFERROR(VLOOKUP(D7,Database!$A$3:$E$113,4,FALSE),"-")</f>
        <v>-</v>
      </c>
      <c r="E8" s="12" t="str">
        <f>IFERROR(VLOOKUP(E7,Database!$A$3:$E$113,4,FALSE),"-")</f>
        <v>-</v>
      </c>
      <c r="F8" s="12" t="str">
        <f>IFERROR(VLOOKUP(F7,Database!$A$3:$E$113,4,FALSE),"-")</f>
        <v>-</v>
      </c>
      <c r="G8" s="12" t="str">
        <f>IFERROR(VLOOKUP(G7,Database!$A$3:$E$113,4,FALSE),"-")</f>
        <v>-</v>
      </c>
      <c r="H8" s="12" t="str">
        <f>IFERROR(VLOOKUP(H7,Database!$A$3:$E$113,4,FALSE),"-")</f>
        <v>-</v>
      </c>
      <c r="I8" s="12" t="str">
        <f>IFERROR(VLOOKUP(I7,Database!$A$3:$E$113,4,FALSE),"-")</f>
        <v>-</v>
      </c>
    </row>
    <row r="9" spans="1:12" ht="17.25" thickTop="1" thickBot="1" x14ac:dyDescent="0.3">
      <c r="A9" s="5" t="s">
        <v>78</v>
      </c>
      <c r="B9" s="12" t="str">
        <f>IFERROR(VLOOKUP(B7,Database!$A$3:$E$113,5,FALSE),"-")</f>
        <v>-</v>
      </c>
      <c r="C9" s="12" t="str">
        <f>IFERROR(VLOOKUP(C7,Database!$A$3:$E$113,5,FALSE),"-")</f>
        <v>-</v>
      </c>
      <c r="D9" s="12" t="str">
        <f>IFERROR(VLOOKUP(D7,Database!$A$3:$E$113,5,FALSE),"-")</f>
        <v>-</v>
      </c>
      <c r="E9" s="12" t="str">
        <f>IFERROR(VLOOKUP(E7,Database!$A$3:$E$113,5,FALSE),"-")</f>
        <v>-</v>
      </c>
      <c r="F9" s="12" t="str">
        <f>IFERROR(VLOOKUP(F7,Database!$A$3:$E$113,5,FALSE),"-")</f>
        <v>-</v>
      </c>
      <c r="G9" s="12" t="str">
        <f>IFERROR(VLOOKUP(G7,Database!$A$3:$E$113,5,FALSE),"-")</f>
        <v>-</v>
      </c>
      <c r="H9" s="12" t="str">
        <f>IFERROR(VLOOKUP(H7,Database!$A$3:$E$113,5,FALSE),"-")</f>
        <v>-</v>
      </c>
      <c r="I9" s="12" t="str">
        <f>IFERROR(VLOOKUP(I7,Database!$A$3:$E$113,5,FALSE),"-")</f>
        <v>-</v>
      </c>
    </row>
    <row r="10" spans="1:12" ht="16.5" thickTop="1" x14ac:dyDescent="0.25">
      <c r="A10" s="5" t="s">
        <v>74</v>
      </c>
      <c r="B10" s="32">
        <f>IFERROR(B6*B8,0)</f>
        <v>0</v>
      </c>
      <c r="C10" s="32" t="str">
        <f>IFERROR(C6*C8,"-")</f>
        <v>-</v>
      </c>
      <c r="D10" s="10" t="str">
        <f>IFERROR(D6*D8,"-")</f>
        <v>-</v>
      </c>
      <c r="E10" s="10" t="str">
        <f>IFERROR(E6*E8,"-")</f>
        <v>-</v>
      </c>
      <c r="F10" s="10" t="str">
        <f>IFERROR(F6*F8,"-")</f>
        <v>-</v>
      </c>
      <c r="G10" s="10" t="str">
        <f>IFERROR(G6*G8,"-")</f>
        <v>-</v>
      </c>
      <c r="H10" s="10" t="str">
        <f t="shared" ref="H10:I10" si="0">IFERROR(H6*H8,"-")</f>
        <v>-</v>
      </c>
      <c r="I10" s="10" t="str">
        <f t="shared" si="0"/>
        <v>-</v>
      </c>
    </row>
    <row r="11" spans="1:12" x14ac:dyDescent="0.25">
      <c r="A11" s="16" t="s">
        <v>75</v>
      </c>
      <c r="B11" s="23" t="str">
        <f t="shared" ref="B11:G11" si="1">IFERROR(B10/(B9*1000),"-")</f>
        <v>-</v>
      </c>
      <c r="C11" s="23" t="str">
        <f t="shared" si="1"/>
        <v>-</v>
      </c>
      <c r="D11" s="23" t="str">
        <f t="shared" si="1"/>
        <v>-</v>
      </c>
      <c r="E11" s="23" t="str">
        <f t="shared" si="1"/>
        <v>-</v>
      </c>
      <c r="F11" s="23" t="str">
        <f t="shared" si="1"/>
        <v>-</v>
      </c>
      <c r="G11" s="23" t="str">
        <f t="shared" si="1"/>
        <v>-</v>
      </c>
      <c r="H11" s="23" t="str">
        <f t="shared" ref="H11:I11" si="2">IFERROR(H10/(H9*1000),"-")</f>
        <v>-</v>
      </c>
      <c r="I11" s="23" t="str">
        <f t="shared" si="2"/>
        <v>-</v>
      </c>
    </row>
    <row r="12" spans="1:12" x14ac:dyDescent="0.25">
      <c r="A12" s="5" t="s">
        <v>79</v>
      </c>
      <c r="B12" s="15">
        <f>SUM(B10:I10)</f>
        <v>0</v>
      </c>
    </row>
    <row r="14" spans="1:12" ht="16.5" thickBot="1" x14ac:dyDescent="0.3">
      <c r="A14" s="35" t="s">
        <v>405</v>
      </c>
      <c r="B14" s="12" t="str">
        <f>IFERROR(VLOOKUP(B7,Database!$A$3:$G$113,7,FALSE),"-")</f>
        <v>-</v>
      </c>
      <c r="C14" s="12" t="str">
        <f>IFERROR(VLOOKUP(C7,Database!$A$3:$G$113,7,FALSE),"-")</f>
        <v>-</v>
      </c>
      <c r="D14" s="12" t="str">
        <f>IFERROR(VLOOKUP(D7,Database!$A$3:$G$113,7,FALSE),"-")</f>
        <v>-</v>
      </c>
      <c r="E14" s="12" t="str">
        <f>IFERROR(VLOOKUP(E7,Database!$A$3:$G$113,7,FALSE),"-")</f>
        <v>-</v>
      </c>
      <c r="F14" s="12" t="str">
        <f>IFERROR(VLOOKUP(F7,Database!$A$3:$G$113,7,FALSE),"-")</f>
        <v>-</v>
      </c>
      <c r="G14" s="12" t="str">
        <f>IFERROR(VLOOKUP(G7,Database!$A$3:$G$113,7,FALSE),"-")</f>
        <v>-</v>
      </c>
      <c r="H14" s="12" t="str">
        <f>IFERROR(VLOOKUP(H7,Database!$A$3:$G$113,7,FALSE),"-")</f>
        <v>-</v>
      </c>
      <c r="I14" s="12" t="str">
        <f>IFERROR(VLOOKUP(I7,Database!$A$3:$G$113,7,FALSE),"-")</f>
        <v>-</v>
      </c>
    </row>
    <row r="15" spans="1:12" ht="16.5" thickTop="1" x14ac:dyDescent="0.25">
      <c r="B15" s="10">
        <f>IFERROR(B6*B14,0)</f>
        <v>0</v>
      </c>
      <c r="C15" s="10">
        <f t="shared" ref="C15:G15" si="3">IFERROR(C6*C14,0)</f>
        <v>0</v>
      </c>
      <c r="D15" s="10">
        <f t="shared" si="3"/>
        <v>0</v>
      </c>
      <c r="E15" s="10">
        <f t="shared" si="3"/>
        <v>0</v>
      </c>
      <c r="F15" s="10">
        <f t="shared" si="3"/>
        <v>0</v>
      </c>
      <c r="G15" s="10">
        <f t="shared" si="3"/>
        <v>0</v>
      </c>
      <c r="H15" s="10">
        <f t="shared" ref="H15:I15" si="4">IFERROR(H6*H14,0)</f>
        <v>0</v>
      </c>
      <c r="I15" s="10">
        <f t="shared" si="4"/>
        <v>0</v>
      </c>
    </row>
    <row r="16" spans="1:12" x14ac:dyDescent="0.25">
      <c r="A16" s="5" t="s">
        <v>409</v>
      </c>
      <c r="B16" s="34">
        <f>SUM(B15:I15)/20</f>
        <v>0</v>
      </c>
      <c r="K16" s="1"/>
    </row>
    <row r="19" spans="1:11" ht="18" thickBot="1" x14ac:dyDescent="0.35">
      <c r="A19" s="29" t="s">
        <v>57</v>
      </c>
      <c r="B19" s="29"/>
      <c r="C19" s="29"/>
      <c r="D19" s="29"/>
      <c r="E19" s="29"/>
      <c r="F19" s="29"/>
      <c r="G19" s="29"/>
      <c r="H19" s="29"/>
      <c r="I19" s="29"/>
    </row>
    <row r="20" spans="1:11" ht="16.5" thickTop="1" x14ac:dyDescent="0.25">
      <c r="A20" s="5" t="s">
        <v>72</v>
      </c>
      <c r="B20" s="41">
        <f>B6*2</f>
        <v>0</v>
      </c>
      <c r="C20" s="9">
        <v>0</v>
      </c>
      <c r="D20" s="9">
        <f>B6*2</f>
        <v>0</v>
      </c>
      <c r="E20" s="9">
        <f>B6*10</f>
        <v>0</v>
      </c>
      <c r="F20" s="9">
        <v>0</v>
      </c>
      <c r="G20" s="9">
        <v>0</v>
      </c>
      <c r="H20" s="9">
        <v>0</v>
      </c>
      <c r="I20" s="9">
        <v>0</v>
      </c>
    </row>
    <row r="21" spans="1:11" x14ac:dyDescent="0.25">
      <c r="A21" s="5" t="s">
        <v>81</v>
      </c>
      <c r="B21" s="17"/>
      <c r="C21" s="17"/>
      <c r="D21" s="17"/>
      <c r="E21" s="17"/>
      <c r="F21" s="17"/>
      <c r="G21" s="17"/>
      <c r="H21" s="17"/>
      <c r="I21" s="17"/>
    </row>
    <row r="22" spans="1:11" ht="16.5" thickBot="1" x14ac:dyDescent="0.3">
      <c r="A22" s="5" t="s">
        <v>73</v>
      </c>
      <c r="B22" s="12" t="str">
        <f>IFERROR(VLOOKUP(B21,Database!$A$3:$G$113,4,FALSE),"-")</f>
        <v>-</v>
      </c>
      <c r="C22" s="12" t="str">
        <f>IFERROR(VLOOKUP(C21,Database!$A$3:$G$113,4,FALSE),"-")</f>
        <v>-</v>
      </c>
      <c r="D22" s="12" t="str">
        <f>IFERROR(VLOOKUP(D21,Database!$A$3:$G$113,4,FALSE),"-")</f>
        <v>-</v>
      </c>
      <c r="E22" s="12" t="str">
        <f>IFERROR(VLOOKUP(E21,Database!$A$3:$G$113,4,FALSE),"-")</f>
        <v>-</v>
      </c>
      <c r="F22" s="12" t="str">
        <f>IFERROR(VLOOKUP(F21,Database!$A$3:$G$113,4,FALSE),"-")</f>
        <v>-</v>
      </c>
      <c r="G22" s="12" t="str">
        <f>IFERROR(VLOOKUP(G21,Database!$A$3:$G$113,4,FALSE),"-")</f>
        <v>-</v>
      </c>
      <c r="H22" s="12" t="str">
        <f>IFERROR(VLOOKUP(H21,Database!$A$3:$G$113,4,FALSE),"-")</f>
        <v>-</v>
      </c>
      <c r="I22" s="12" t="str">
        <f>IFERROR(VLOOKUP(I21,Database!$A$3:$G$113,4,FALSE),"-")</f>
        <v>-</v>
      </c>
    </row>
    <row r="23" spans="1:11" ht="17.25" thickTop="1" thickBot="1" x14ac:dyDescent="0.3">
      <c r="A23" s="5" t="s">
        <v>78</v>
      </c>
      <c r="B23" s="12" t="str">
        <f>IFERROR(VLOOKUP(B21,Database!$A$3:$G$113,5,FALSE),"-")</f>
        <v>-</v>
      </c>
      <c r="C23" s="12" t="str">
        <f>IFERROR(VLOOKUP(C21,Database!$A$3:$G$113,5,FALSE),"-")</f>
        <v>-</v>
      </c>
      <c r="D23" s="12" t="str">
        <f>IFERROR(VLOOKUP(D21,Database!$A$3:$G$113,5,FALSE),"-")</f>
        <v>-</v>
      </c>
      <c r="E23" s="12" t="str">
        <f>IFERROR(VLOOKUP(E21,Database!$A$3:$G$113,5,FALSE),"-")</f>
        <v>-</v>
      </c>
      <c r="F23" s="12" t="str">
        <f>IFERROR(VLOOKUP(F21,Database!$A$3:$G$113,5,FALSE),"-")</f>
        <v>-</v>
      </c>
      <c r="G23" s="12" t="str">
        <f>IFERROR(VLOOKUP(G21,Database!$A$3:$G$113,5,FALSE),"-")</f>
        <v>-</v>
      </c>
      <c r="H23" s="12" t="str">
        <f>IFERROR(VLOOKUP(H21,Database!$A$3:$G$113,5,FALSE),"-")</f>
        <v>-</v>
      </c>
      <c r="I23" s="12" t="str">
        <f>IFERROR(VLOOKUP(I21,Database!$A$3:$G$113,5,FALSE),"-")</f>
        <v>-</v>
      </c>
    </row>
    <row r="24" spans="1:11" ht="16.5" thickTop="1" x14ac:dyDescent="0.25">
      <c r="A24" s="5" t="s">
        <v>74</v>
      </c>
      <c r="B24" s="10">
        <f>IFERROR(B20*B22,0)</f>
        <v>0</v>
      </c>
      <c r="C24" s="10" t="str">
        <f>IFERROR(C20*C22,"-")</f>
        <v>-</v>
      </c>
      <c r="D24" s="10" t="str">
        <f>IFERROR(D20*D22,"-")</f>
        <v>-</v>
      </c>
      <c r="E24" s="10" t="str">
        <f>IFERROR(E20*E22,"-")</f>
        <v>-</v>
      </c>
      <c r="F24" s="10" t="str">
        <f>IFERROR(F20*F22,"-")</f>
        <v>-</v>
      </c>
      <c r="G24" s="10" t="str">
        <f>IFERROR(G20*G22,"-")</f>
        <v>-</v>
      </c>
      <c r="H24" s="10" t="str">
        <f t="shared" ref="H24:I24" si="5">IFERROR(H20*H22,"-")</f>
        <v>-</v>
      </c>
      <c r="I24" s="10" t="str">
        <f t="shared" si="5"/>
        <v>-</v>
      </c>
    </row>
    <row r="25" spans="1:11" x14ac:dyDescent="0.25">
      <c r="A25" s="16" t="s">
        <v>75</v>
      </c>
      <c r="B25" s="23" t="str">
        <f t="shared" ref="B25:G25" si="6">IFERROR(B24/(B23*1000),"-")</f>
        <v>-</v>
      </c>
      <c r="C25" s="23" t="str">
        <f t="shared" si="6"/>
        <v>-</v>
      </c>
      <c r="D25" s="23" t="str">
        <f t="shared" si="6"/>
        <v>-</v>
      </c>
      <c r="E25" s="23" t="str">
        <f t="shared" si="6"/>
        <v>-</v>
      </c>
      <c r="F25" s="23" t="str">
        <f t="shared" si="6"/>
        <v>-</v>
      </c>
      <c r="G25" s="23" t="str">
        <f t="shared" si="6"/>
        <v>-</v>
      </c>
      <c r="H25" s="23" t="str">
        <f t="shared" ref="H25:I25" si="7">IFERROR(H24/(H23*1000),"-")</f>
        <v>-</v>
      </c>
      <c r="I25" s="23" t="str">
        <f t="shared" si="7"/>
        <v>-</v>
      </c>
    </row>
    <row r="26" spans="1:11" x14ac:dyDescent="0.25">
      <c r="A26" s="5" t="s">
        <v>79</v>
      </c>
      <c r="B26" s="15">
        <f>SUM(B24:I24)</f>
        <v>0</v>
      </c>
    </row>
    <row r="27" spans="1:11" x14ac:dyDescent="0.25">
      <c r="A27" s="5"/>
    </row>
    <row r="28" spans="1:11" ht="16.5" thickBot="1" x14ac:dyDescent="0.3">
      <c r="A28" s="35" t="s">
        <v>405</v>
      </c>
      <c r="B28" s="12" t="str">
        <f>IFERROR(VLOOKUP(B21,Database!$A$3:$G$113,7,FALSE),"-")</f>
        <v>-</v>
      </c>
      <c r="C28" s="12" t="str">
        <f>IFERROR(VLOOKUP(C21,Database!$A$3:$G$113,7,FALSE),"-")</f>
        <v>-</v>
      </c>
      <c r="D28" s="12" t="str">
        <f>IFERROR(VLOOKUP(D21,Database!$A$3:$G$113,7,FALSE),"-")</f>
        <v>-</v>
      </c>
      <c r="E28" s="12" t="str">
        <f>IFERROR(VLOOKUP(E21,Database!$A$3:$G$113,7,FALSE),"-")</f>
        <v>-</v>
      </c>
      <c r="F28" s="12" t="str">
        <f>IFERROR(VLOOKUP(F21,Database!$A$3:$G$113,7,FALSE),"-")</f>
        <v>-</v>
      </c>
      <c r="G28" s="12" t="str">
        <f>IFERROR(VLOOKUP(G21,Database!$A$3:$G$113,7,FALSE),"-")</f>
        <v>-</v>
      </c>
      <c r="H28" s="12"/>
      <c r="I28" s="12"/>
    </row>
    <row r="29" spans="1:11" ht="16.5" thickTop="1" x14ac:dyDescent="0.25">
      <c r="B29" s="10">
        <f>IFERROR(B20*B28,0)</f>
        <v>0</v>
      </c>
      <c r="C29" s="10">
        <f t="shared" ref="C29:I29" si="8">IFERROR(C20*C28,0)</f>
        <v>0</v>
      </c>
      <c r="D29" s="10">
        <f t="shared" si="8"/>
        <v>0</v>
      </c>
      <c r="E29" s="10">
        <f t="shared" si="8"/>
        <v>0</v>
      </c>
      <c r="F29" s="10">
        <f t="shared" si="8"/>
        <v>0</v>
      </c>
      <c r="G29" s="10">
        <f t="shared" si="8"/>
        <v>0</v>
      </c>
      <c r="H29" s="10">
        <f t="shared" si="8"/>
        <v>0</v>
      </c>
      <c r="I29" s="10">
        <f t="shared" si="8"/>
        <v>0</v>
      </c>
    </row>
    <row r="30" spans="1:11" x14ac:dyDescent="0.25">
      <c r="A30" s="5" t="s">
        <v>409</v>
      </c>
      <c r="B30" s="34">
        <f>SUM(B29:I29)/20</f>
        <v>0</v>
      </c>
    </row>
    <row r="31" spans="1:11" x14ac:dyDescent="0.25">
      <c r="K31" s="1"/>
    </row>
    <row r="33" spans="1:9" ht="18" thickBot="1" x14ac:dyDescent="0.35">
      <c r="A33" s="31" t="s">
        <v>60</v>
      </c>
      <c r="B33" s="31"/>
      <c r="C33" s="31"/>
      <c r="D33" s="31"/>
      <c r="E33" s="31"/>
      <c r="F33" s="31"/>
      <c r="G33" s="31"/>
      <c r="H33" s="31"/>
      <c r="I33" s="31"/>
    </row>
    <row r="34" spans="1:9" ht="16.5" thickTop="1" x14ac:dyDescent="0.25">
      <c r="A34" s="5" t="s">
        <v>61</v>
      </c>
      <c r="B34" s="11" t="str">
        <f>IF($B$12&gt;$B$26,"Input excesive",IF($B$12&lt;$B$26,"Output excessive","Equal"))</f>
        <v>Equal</v>
      </c>
      <c r="C34" s="22">
        <f>IF($B$12&gt;$B$26,B12/B26,IF($B$12&lt;$B$26,B26/B12,1))</f>
        <v>1</v>
      </c>
    </row>
    <row r="36" spans="1:9" x14ac:dyDescent="0.25">
      <c r="D36">
        <f>1/C34</f>
        <v>1</v>
      </c>
      <c r="G36" s="1"/>
      <c r="H36" s="1"/>
      <c r="I36" s="1"/>
    </row>
    <row r="37" spans="1:9" x14ac:dyDescent="0.25">
      <c r="B37" s="38"/>
    </row>
    <row r="39" spans="1:9" x14ac:dyDescent="0.25">
      <c r="B39" s="37"/>
    </row>
  </sheetData>
  <mergeCells count="1">
    <mergeCell ref="A1:G1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Database!$A$3:$A$152</xm:f>
          </x14:formula1>
          <xm:sqref>B21:I21 B7:I7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2"/>
  <sheetViews>
    <sheetView tabSelected="1" zoomScaleNormal="100" workbookViewId="0">
      <pane ySplit="1" topLeftCell="A72" activePane="bottomLeft" state="frozen"/>
      <selection pane="bottomLeft" activeCell="B94" sqref="B94"/>
    </sheetView>
  </sheetViews>
  <sheetFormatPr defaultColWidth="11" defaultRowHeight="15.75" x14ac:dyDescent="0.25"/>
  <cols>
    <col min="1" max="1" width="19.5" customWidth="1"/>
    <col min="2" max="2" width="49.75" customWidth="1"/>
    <col min="3" max="3" width="13.625" customWidth="1"/>
    <col min="4" max="4" width="17" customWidth="1"/>
    <col min="5" max="5" width="18.125" customWidth="1"/>
    <col min="6" max="6" width="19" customWidth="1"/>
    <col min="7" max="7" width="11.625" bestFit="1" customWidth="1"/>
    <col min="8" max="8" width="11.875" bestFit="1" customWidth="1"/>
  </cols>
  <sheetData>
    <row r="1" spans="1:17" ht="47.1" customHeight="1" x14ac:dyDescent="0.25">
      <c r="A1" s="1" t="s">
        <v>0</v>
      </c>
      <c r="B1" s="2" t="s">
        <v>1</v>
      </c>
      <c r="C1" s="2" t="s">
        <v>431</v>
      </c>
      <c r="D1" s="2" t="s">
        <v>498</v>
      </c>
      <c r="E1" s="2" t="s">
        <v>499</v>
      </c>
      <c r="F1" s="2" t="s">
        <v>194</v>
      </c>
      <c r="G1" s="2" t="s">
        <v>404</v>
      </c>
    </row>
    <row r="2" spans="1:17" ht="20.25" customHeight="1" x14ac:dyDescent="0.25">
      <c r="A2" s="1"/>
      <c r="B2" s="2"/>
      <c r="C2" s="2"/>
      <c r="D2" s="2"/>
      <c r="E2" s="2"/>
      <c r="F2" s="2"/>
    </row>
    <row r="3" spans="1:17" x14ac:dyDescent="0.25">
      <c r="A3" s="1" t="s">
        <v>39</v>
      </c>
      <c r="B3" s="1" t="s">
        <v>219</v>
      </c>
      <c r="C3" s="1">
        <v>0.02</v>
      </c>
      <c r="D3" s="50">
        <v>576.85</v>
      </c>
      <c r="E3" s="50">
        <f>0.01*1000</f>
        <v>10</v>
      </c>
      <c r="F3" s="4">
        <f>D3/(E3 * 1000)</f>
        <v>5.7685E-2</v>
      </c>
      <c r="G3" s="6">
        <v>283.27</v>
      </c>
    </row>
    <row r="4" spans="1:17" x14ac:dyDescent="0.25">
      <c r="A4" s="1" t="s">
        <v>2</v>
      </c>
      <c r="B4" s="1" t="s">
        <v>3</v>
      </c>
      <c r="C4" s="1">
        <v>0.8</v>
      </c>
      <c r="D4" s="50">
        <v>170.34</v>
      </c>
      <c r="E4" s="50">
        <f>0.005*1000</f>
        <v>5</v>
      </c>
      <c r="F4" s="4">
        <f t="shared" ref="F4:F8" si="0">D4/(E4 * 1000)</f>
        <v>3.4068000000000001E-2</v>
      </c>
      <c r="G4">
        <v>488.46</v>
      </c>
      <c r="J4" t="s">
        <v>490</v>
      </c>
      <c r="K4" t="s">
        <v>0</v>
      </c>
      <c r="L4" t="s">
        <v>69</v>
      </c>
      <c r="M4" t="s">
        <v>70</v>
      </c>
      <c r="N4" t="s">
        <v>71</v>
      </c>
    </row>
    <row r="5" spans="1:17" x14ac:dyDescent="0.25">
      <c r="A5" s="7" t="s">
        <v>4</v>
      </c>
      <c r="B5" s="7" t="s">
        <v>167</v>
      </c>
      <c r="C5" s="7">
        <v>0.18</v>
      </c>
      <c r="D5" s="51">
        <f>54.4</f>
        <v>54.4</v>
      </c>
      <c r="E5" s="51">
        <f>0.005*1000</f>
        <v>5</v>
      </c>
      <c r="F5" s="4">
        <f t="shared" si="0"/>
        <v>1.0879999999999999E-2</v>
      </c>
      <c r="G5">
        <v>54.4</v>
      </c>
      <c r="J5" t="s">
        <v>4</v>
      </c>
      <c r="K5" t="s">
        <v>66</v>
      </c>
      <c r="L5" t="s">
        <v>67</v>
      </c>
      <c r="M5">
        <v>117.49</v>
      </c>
      <c r="N5" s="13">
        <v>0.7</v>
      </c>
      <c r="O5">
        <v>99</v>
      </c>
      <c r="P5">
        <f>M5*O5</f>
        <v>11631.51</v>
      </c>
      <c r="Q5" s="49">
        <f>P5/$P$8</f>
        <v>0.70146498497745102</v>
      </c>
    </row>
    <row r="6" spans="1:17" x14ac:dyDescent="0.25">
      <c r="A6" s="1" t="s">
        <v>5</v>
      </c>
      <c r="B6" s="1" t="s">
        <v>6</v>
      </c>
      <c r="C6" s="1">
        <v>1.2</v>
      </c>
      <c r="D6" s="50">
        <f>(14.007*2)+(1.008*4)</f>
        <v>32.045999999999999</v>
      </c>
      <c r="E6" s="50">
        <f>0.004*1000</f>
        <v>4</v>
      </c>
      <c r="F6" s="4">
        <f t="shared" si="0"/>
        <v>8.0114999999999995E-3</v>
      </c>
      <c r="G6">
        <v>83.42</v>
      </c>
      <c r="J6" t="s">
        <v>488</v>
      </c>
      <c r="K6" t="s">
        <v>68</v>
      </c>
      <c r="L6" t="s">
        <v>35</v>
      </c>
      <c r="M6">
        <v>26.98</v>
      </c>
      <c r="N6" s="14">
        <v>0.15</v>
      </c>
      <c r="O6">
        <v>92</v>
      </c>
      <c r="P6">
        <f t="shared" ref="P6:P7" si="1">M6*O6</f>
        <v>2482.16</v>
      </c>
      <c r="Q6" s="49">
        <f>P6/$P$8</f>
        <v>0.14969237245307185</v>
      </c>
    </row>
    <row r="7" spans="1:17" x14ac:dyDescent="0.25">
      <c r="A7" s="1" t="s">
        <v>9</v>
      </c>
      <c r="B7" s="1" t="s">
        <v>10</v>
      </c>
      <c r="C7" s="1">
        <v>4</v>
      </c>
      <c r="D7" s="50">
        <f>131.29</f>
        <v>131.29</v>
      </c>
      <c r="E7" s="50">
        <f>0.0001*1000</f>
        <v>0.1</v>
      </c>
      <c r="F7" s="4">
        <f t="shared" si="0"/>
        <v>1.3129</v>
      </c>
      <c r="G7">
        <v>12.12</v>
      </c>
      <c r="J7" t="s">
        <v>489</v>
      </c>
      <c r="K7" t="s">
        <v>425</v>
      </c>
      <c r="L7" t="s">
        <v>487</v>
      </c>
      <c r="M7">
        <v>2468.0700000000002</v>
      </c>
      <c r="N7" s="13">
        <v>0.15</v>
      </c>
      <c r="O7">
        <v>1</v>
      </c>
      <c r="P7">
        <f t="shared" si="1"/>
        <v>2468.0700000000002</v>
      </c>
      <c r="Q7" s="49">
        <f>P7/$P$8</f>
        <v>0.14884264256947702</v>
      </c>
    </row>
    <row r="8" spans="1:17" x14ac:dyDescent="0.25">
      <c r="A8" s="1" t="s">
        <v>65</v>
      </c>
      <c r="B8" s="1" t="s">
        <v>491</v>
      </c>
      <c r="C8" s="1">
        <v>0.6</v>
      </c>
      <c r="D8" s="50">
        <v>1658.174</v>
      </c>
      <c r="E8" s="50">
        <f>0.0075*1000</f>
        <v>7.5</v>
      </c>
      <c r="F8" s="4">
        <f t="shared" si="0"/>
        <v>0.22108986666666666</v>
      </c>
      <c r="N8" s="13"/>
      <c r="P8">
        <f>SUM(P5:P7)</f>
        <v>16581.740000000002</v>
      </c>
    </row>
    <row r="9" spans="1:17" x14ac:dyDescent="0.25">
      <c r="D9" s="37"/>
      <c r="E9" s="37"/>
      <c r="L9" s="14"/>
    </row>
    <row r="10" spans="1:17" x14ac:dyDescent="0.25">
      <c r="A10" s="1" t="s">
        <v>171</v>
      </c>
      <c r="B10" s="1" t="s">
        <v>141</v>
      </c>
      <c r="C10" s="1">
        <v>1.35</v>
      </c>
      <c r="D10" s="50">
        <f>SUM(($D$51*0.5)+($D$109*0.5))</f>
        <v>46.073</v>
      </c>
      <c r="E10" s="50">
        <f>0.0009*1000</f>
        <v>0.9</v>
      </c>
      <c r="F10" s="4">
        <f>D10/(E10 * 1000)</f>
        <v>5.1192222222222222E-2</v>
      </c>
      <c r="G10">
        <f>(G51/2)+(G109/2)</f>
        <v>1623.855</v>
      </c>
      <c r="L10" s="13"/>
    </row>
    <row r="11" spans="1:17" x14ac:dyDescent="0.25">
      <c r="A11" s="1" t="s">
        <v>27</v>
      </c>
      <c r="B11" s="1" t="s">
        <v>29</v>
      </c>
      <c r="C11" s="1">
        <v>0.5</v>
      </c>
      <c r="D11" s="50">
        <v>101.96</v>
      </c>
      <c r="E11" s="50">
        <f>0.00398*1000</f>
        <v>3.98</v>
      </c>
      <c r="F11" s="4">
        <f t="shared" ref="F11:F15" si="2">D11/(E11 * 1000)</f>
        <v>2.5618090452261304E-2</v>
      </c>
      <c r="G11">
        <v>52.79</v>
      </c>
    </row>
    <row r="12" spans="1:17" x14ac:dyDescent="0.25">
      <c r="A12" s="1" t="s">
        <v>34</v>
      </c>
      <c r="B12" s="1" t="s">
        <v>35</v>
      </c>
      <c r="C12" s="1">
        <v>1.5</v>
      </c>
      <c r="D12" s="50">
        <v>26.98</v>
      </c>
      <c r="E12" s="50">
        <f>0.00277*1000</f>
        <v>2.77</v>
      </c>
      <c r="F12" s="4">
        <f t="shared" si="2"/>
        <v>9.7400722021660658E-3</v>
      </c>
      <c r="G12">
        <v>5.98</v>
      </c>
    </row>
    <row r="13" spans="1:17" x14ac:dyDescent="0.25">
      <c r="A13" s="1" t="s">
        <v>14</v>
      </c>
      <c r="B13" s="1" t="s">
        <v>15</v>
      </c>
      <c r="C13" s="1">
        <v>1.4999999999999999E-4</v>
      </c>
      <c r="D13" s="50">
        <v>17.03</v>
      </c>
      <c r="E13" s="50">
        <f>0.000000769*1000</f>
        <v>7.6899999999999994E-4</v>
      </c>
      <c r="F13" s="4">
        <f t="shared" si="2"/>
        <v>22.145643693107935</v>
      </c>
      <c r="G13">
        <v>55.3</v>
      </c>
    </row>
    <row r="14" spans="1:17" x14ac:dyDescent="0.25">
      <c r="A14" s="1" t="s">
        <v>7</v>
      </c>
      <c r="B14" s="1" t="s">
        <v>8</v>
      </c>
      <c r="C14" s="1">
        <v>1.0500000000000001E-2</v>
      </c>
      <c r="D14" s="50">
        <v>39.950000000000003</v>
      </c>
      <c r="E14" s="50">
        <f>0.000001784*1000</f>
        <v>1.784E-3</v>
      </c>
      <c r="F14" s="4">
        <f t="shared" si="2"/>
        <v>22.393497757847534</v>
      </c>
      <c r="G14">
        <v>15.75</v>
      </c>
    </row>
    <row r="15" spans="1:17" x14ac:dyDescent="0.25">
      <c r="A15" s="1" t="s">
        <v>420</v>
      </c>
      <c r="B15" s="1" t="s">
        <v>421</v>
      </c>
      <c r="C15" s="1">
        <v>0.5213333</v>
      </c>
      <c r="D15" s="50">
        <v>93.13</v>
      </c>
      <c r="E15" s="50">
        <f>0.00102*1000</f>
        <v>1.02</v>
      </c>
      <c r="F15" s="4">
        <f t="shared" si="2"/>
        <v>9.1303921568627447E-2</v>
      </c>
      <c r="G15">
        <v>177.22</v>
      </c>
    </row>
    <row r="16" spans="1:17" x14ac:dyDescent="0.25">
      <c r="A16" s="24" t="s">
        <v>186</v>
      </c>
      <c r="B16" s="24" t="s">
        <v>187</v>
      </c>
      <c r="C16" s="24">
        <v>1.4</v>
      </c>
      <c r="D16" s="52">
        <v>9.01</v>
      </c>
      <c r="E16" s="52">
        <f>0.00185*1000</f>
        <v>1.85</v>
      </c>
      <c r="F16" s="25">
        <f>D16/(E16 * 1000)</f>
        <v>4.87027027027027E-3</v>
      </c>
      <c r="G16">
        <v>9.32</v>
      </c>
    </row>
    <row r="17" spans="1:8" x14ac:dyDescent="0.25">
      <c r="A17" s="24" t="s">
        <v>188</v>
      </c>
      <c r="B17" s="24" t="s">
        <v>189</v>
      </c>
      <c r="C17" s="24">
        <v>0.8</v>
      </c>
      <c r="D17" s="52">
        <v>66.02</v>
      </c>
      <c r="E17" s="52">
        <f>0.00244518*1000</f>
        <v>2.4451800000000001</v>
      </c>
      <c r="F17" s="25">
        <f t="shared" ref="F17:F18" si="3">D17/(E17 * 1000)</f>
        <v>2.7000057255498568E-2</v>
      </c>
      <c r="G17">
        <v>59.47</v>
      </c>
    </row>
    <row r="18" spans="1:8" x14ac:dyDescent="0.25">
      <c r="A18" s="24" t="s">
        <v>216</v>
      </c>
      <c r="B18" s="24" t="s">
        <v>212</v>
      </c>
      <c r="C18" s="24"/>
      <c r="D18" s="52">
        <v>720.6</v>
      </c>
      <c r="E18" s="52">
        <f>0.126*1000</f>
        <v>126</v>
      </c>
      <c r="F18" s="25">
        <f t="shared" si="3"/>
        <v>5.7190476190476193E-3</v>
      </c>
      <c r="G18">
        <v>675.6</v>
      </c>
    </row>
    <row r="19" spans="1:8" x14ac:dyDescent="0.25">
      <c r="A19" s="7" t="s">
        <v>190</v>
      </c>
      <c r="B19" s="7" t="s">
        <v>191</v>
      </c>
      <c r="C19" s="7">
        <v>0.85099999999999998</v>
      </c>
      <c r="D19" s="51">
        <v>10.81</v>
      </c>
      <c r="E19" s="51">
        <f>0.00246*1000</f>
        <v>2.46</v>
      </c>
      <c r="F19" s="8">
        <f>D19/(E19 * 1000)</f>
        <v>4.3943089430894307E-3</v>
      </c>
      <c r="G19">
        <v>8.2899999999999991</v>
      </c>
    </row>
    <row r="20" spans="1:8" x14ac:dyDescent="0.25">
      <c r="A20" s="7" t="s">
        <v>201</v>
      </c>
      <c r="B20" s="7" t="s">
        <v>202</v>
      </c>
      <c r="C20" s="7">
        <v>77</v>
      </c>
      <c r="D20" s="51">
        <v>132.91</v>
      </c>
      <c r="E20" s="51">
        <f>0.00193*1000</f>
        <v>1.9300000000000002</v>
      </c>
      <c r="F20" s="8">
        <f t="shared" ref="F20:F36" si="4">D20/(E20 * 1000)</f>
        <v>6.8865284974093249E-2</v>
      </c>
      <c r="G20" s="26">
        <v>3.89</v>
      </c>
      <c r="H20" s="26"/>
    </row>
    <row r="21" spans="1:8" x14ac:dyDescent="0.25">
      <c r="A21" s="7" t="s">
        <v>232</v>
      </c>
      <c r="B21" s="7" t="s">
        <v>221</v>
      </c>
      <c r="C21" s="7">
        <v>1.4999999999999999E-4</v>
      </c>
      <c r="D21" s="51">
        <v>40.08</v>
      </c>
      <c r="E21" s="51">
        <f>0.00155*1000</f>
        <v>1.55</v>
      </c>
      <c r="F21" s="8">
        <f t="shared" si="4"/>
        <v>2.5858064516129032E-2</v>
      </c>
      <c r="G21" s="26">
        <v>6.11</v>
      </c>
      <c r="H21" s="26"/>
    </row>
    <row r="22" spans="1:8" x14ac:dyDescent="0.25">
      <c r="A22" s="1" t="s">
        <v>32</v>
      </c>
      <c r="B22" s="1" t="s">
        <v>33</v>
      </c>
      <c r="C22" s="1">
        <v>0</v>
      </c>
      <c r="D22" s="50">
        <v>12.01</v>
      </c>
      <c r="E22" s="50">
        <f>0.0021*1000</f>
        <v>2.1</v>
      </c>
      <c r="F22" s="8">
        <f t="shared" si="4"/>
        <v>5.7190476190476193E-3</v>
      </c>
      <c r="G22">
        <v>11.26</v>
      </c>
    </row>
    <row r="23" spans="1:8" x14ac:dyDescent="0.25">
      <c r="A23" s="1" t="s">
        <v>37</v>
      </c>
      <c r="B23" s="1" t="s">
        <v>11</v>
      </c>
      <c r="C23" s="1">
        <v>2.8636999999999998E-6</v>
      </c>
      <c r="D23" s="50">
        <v>44.01</v>
      </c>
      <c r="E23" s="50">
        <f>0.000001951*1000</f>
        <v>1.951E-3</v>
      </c>
      <c r="F23" s="8">
        <f t="shared" si="4"/>
        <v>22.557662737057917</v>
      </c>
      <c r="G23">
        <v>38.479999999999997</v>
      </c>
    </row>
    <row r="24" spans="1:8" x14ac:dyDescent="0.25">
      <c r="A24" s="1" t="s">
        <v>164</v>
      </c>
      <c r="B24" s="1" t="s">
        <v>166</v>
      </c>
      <c r="C24" s="1">
        <v>3.32E-6</v>
      </c>
      <c r="D24" s="50">
        <v>28.01</v>
      </c>
      <c r="E24" s="50">
        <f>0.00000125*1000</f>
        <v>1.25E-3</v>
      </c>
      <c r="F24" s="8">
        <f t="shared" si="4"/>
        <v>22.408000000000001</v>
      </c>
      <c r="G24">
        <v>24.87</v>
      </c>
    </row>
    <row r="25" spans="1:8" x14ac:dyDescent="0.25">
      <c r="A25" s="1" t="s">
        <v>106</v>
      </c>
      <c r="B25" s="1" t="s">
        <v>480</v>
      </c>
      <c r="C25" s="1">
        <v>16</v>
      </c>
      <c r="D25" s="50">
        <v>558.47</v>
      </c>
      <c r="E25" s="50">
        <f>0.0025*1000</f>
        <v>2.5</v>
      </c>
      <c r="F25" s="4">
        <f t="shared" si="4"/>
        <v>0.223388</v>
      </c>
      <c r="G25">
        <v>373.39</v>
      </c>
    </row>
    <row r="26" spans="1:8" x14ac:dyDescent="0.25">
      <c r="A26" s="1" t="s">
        <v>153</v>
      </c>
      <c r="B26" s="1" t="s">
        <v>358</v>
      </c>
      <c r="C26" s="1">
        <v>1.4999999999999999E-4</v>
      </c>
      <c r="D26" s="50">
        <v>35.450000000000003</v>
      </c>
      <c r="E26" s="50">
        <f>0.0032*1000</f>
        <v>3.2</v>
      </c>
      <c r="F26" s="8">
        <f t="shared" si="4"/>
        <v>1.1078125000000001E-2</v>
      </c>
      <c r="G26">
        <v>12.96</v>
      </c>
    </row>
    <row r="27" spans="1:8" x14ac:dyDescent="0.25">
      <c r="A27" s="1" t="s">
        <v>107</v>
      </c>
      <c r="B27" s="1"/>
      <c r="C27" s="1">
        <v>15</v>
      </c>
      <c r="D27" s="50"/>
      <c r="E27" s="50">
        <f>0.001556*1000</f>
        <v>1.556</v>
      </c>
      <c r="F27" s="4"/>
    </row>
    <row r="28" spans="1:8" x14ac:dyDescent="0.25">
      <c r="A28" s="1" t="s">
        <v>147</v>
      </c>
      <c r="B28" s="1" t="s">
        <v>118</v>
      </c>
      <c r="C28" s="1">
        <v>0</v>
      </c>
      <c r="D28" s="50">
        <v>238.03</v>
      </c>
      <c r="E28" s="50">
        <f>0.01097*1000</f>
        <v>10.97</v>
      </c>
      <c r="F28" s="8">
        <f t="shared" si="4"/>
        <v>2.1698268003646309E-2</v>
      </c>
      <c r="G28">
        <v>6.19</v>
      </c>
    </row>
    <row r="29" spans="1:8" x14ac:dyDescent="0.25">
      <c r="A29" s="1" t="s">
        <v>148</v>
      </c>
      <c r="B29" s="1" t="s">
        <v>131</v>
      </c>
      <c r="C29" s="1">
        <v>2.7999999999999998E-4</v>
      </c>
      <c r="D29" s="50">
        <v>2.0139999999999998</v>
      </c>
      <c r="E29" s="50">
        <f>0.00000018*1000</f>
        <v>1.7999999999999998E-4</v>
      </c>
      <c r="F29" s="8">
        <f t="shared" si="4"/>
        <v>11.188888888888888</v>
      </c>
      <c r="G29" s="6">
        <v>13.59</v>
      </c>
    </row>
    <row r="30" spans="1:8" x14ac:dyDescent="0.25">
      <c r="A30" s="1" t="s">
        <v>414</v>
      </c>
      <c r="B30" s="1" t="s">
        <v>415</v>
      </c>
      <c r="C30" s="1">
        <v>4.21</v>
      </c>
      <c r="D30" s="50">
        <v>27.67</v>
      </c>
      <c r="E30" s="50">
        <f>0.000421*1000</f>
        <v>0.42099999999999999</v>
      </c>
      <c r="F30" s="8">
        <f t="shared" si="4"/>
        <v>6.5724465558194778E-2</v>
      </c>
      <c r="G30" s="6">
        <v>98.12</v>
      </c>
    </row>
    <row r="31" spans="1:8" x14ac:dyDescent="0.25">
      <c r="A31" s="1" t="s">
        <v>101</v>
      </c>
      <c r="B31" s="1" t="s">
        <v>117</v>
      </c>
      <c r="C31" s="1">
        <v>0.3</v>
      </c>
      <c r="D31" s="50">
        <v>60.08</v>
      </c>
      <c r="E31" s="50">
        <f>0.0016*1000</f>
        <v>1.6</v>
      </c>
      <c r="F31" s="8">
        <f t="shared" si="4"/>
        <v>3.755E-2</v>
      </c>
      <c r="G31">
        <v>35.369999999999997</v>
      </c>
    </row>
    <row r="32" spans="1:8" x14ac:dyDescent="0.25">
      <c r="A32" s="1" t="s">
        <v>108</v>
      </c>
      <c r="B32" s="1" t="s">
        <v>118</v>
      </c>
      <c r="C32" s="1">
        <v>865</v>
      </c>
      <c r="D32" s="50">
        <v>238.03</v>
      </c>
      <c r="E32" s="50">
        <f>0.01097*1000</f>
        <v>10.97</v>
      </c>
      <c r="F32" s="8">
        <f t="shared" si="4"/>
        <v>2.1698268003646309E-2</v>
      </c>
      <c r="G32">
        <v>6.19</v>
      </c>
    </row>
    <row r="33" spans="1:7" x14ac:dyDescent="0.25">
      <c r="A33" s="1" t="s">
        <v>162</v>
      </c>
      <c r="B33" s="1" t="s">
        <v>163</v>
      </c>
      <c r="C33" s="1">
        <v>0.12623999999999999</v>
      </c>
      <c r="D33" s="50">
        <v>46.07</v>
      </c>
      <c r="E33" s="50">
        <f>0.000789*1000</f>
        <v>0.78900000000000003</v>
      </c>
      <c r="F33" s="8">
        <f t="shared" si="4"/>
        <v>5.8390367553865653E-2</v>
      </c>
      <c r="G33">
        <v>117.67</v>
      </c>
    </row>
    <row r="34" spans="1:7" x14ac:dyDescent="0.25">
      <c r="A34" s="1" t="s">
        <v>169</v>
      </c>
      <c r="B34" s="1" t="s">
        <v>170</v>
      </c>
      <c r="C34" s="1">
        <v>0.12623999999999999</v>
      </c>
      <c r="D34" s="50">
        <v>61.206800000000001</v>
      </c>
      <c r="E34" s="50">
        <f>0.00084175*1000</f>
        <v>0.84175</v>
      </c>
      <c r="F34" s="8">
        <f t="shared" si="4"/>
        <v>7.2713751113751113E-2</v>
      </c>
      <c r="G34">
        <v>393.8</v>
      </c>
    </row>
    <row r="35" spans="1:7" x14ac:dyDescent="0.25">
      <c r="A35" s="1" t="s">
        <v>23</v>
      </c>
      <c r="B35" s="1" t="s">
        <v>482</v>
      </c>
      <c r="C35" s="1">
        <v>160</v>
      </c>
      <c r="D35" s="50">
        <v>953.52809999999999</v>
      </c>
      <c r="E35" s="50">
        <f>0.0025*1000</f>
        <v>2.5</v>
      </c>
      <c r="F35" s="8">
        <f t="shared" si="4"/>
        <v>0.38141123999999998</v>
      </c>
      <c r="G35">
        <v>386.86</v>
      </c>
    </row>
    <row r="36" spans="1:7" x14ac:dyDescent="0.25">
      <c r="A36" s="1" t="s">
        <v>115</v>
      </c>
      <c r="B36" s="1" t="s">
        <v>477</v>
      </c>
      <c r="C36" s="1">
        <v>2</v>
      </c>
      <c r="D36" s="50">
        <v>852.68320000000006</v>
      </c>
      <c r="E36" s="50">
        <f>0.001*1000</f>
        <v>1</v>
      </c>
      <c r="F36" s="8">
        <f t="shared" si="4"/>
        <v>0.85268320000000009</v>
      </c>
      <c r="G36">
        <v>475.54</v>
      </c>
    </row>
    <row r="37" spans="1:7" x14ac:dyDescent="0.25">
      <c r="A37" s="24" t="s">
        <v>195</v>
      </c>
      <c r="B37" s="24" t="s">
        <v>197</v>
      </c>
      <c r="C37" s="24">
        <v>920</v>
      </c>
      <c r="D37" s="52">
        <v>412.91</v>
      </c>
      <c r="E37" s="52">
        <f>0.001556*1000</f>
        <v>1.556</v>
      </c>
      <c r="F37" s="25">
        <f>D37/(E37 * 1000)</f>
        <v>0.26536632390745502</v>
      </c>
    </row>
    <row r="38" spans="1:7" x14ac:dyDescent="0.25">
      <c r="A38" s="24" t="s">
        <v>196</v>
      </c>
      <c r="B38" s="24" t="s">
        <v>198</v>
      </c>
      <c r="C38" s="24">
        <v>1150</v>
      </c>
      <c r="D38" s="52">
        <v>278.13</v>
      </c>
      <c r="E38" s="52">
        <f>0.00321*1000</f>
        <v>3.21</v>
      </c>
      <c r="F38" s="25">
        <f>D38/(E38 * 1000)</f>
        <v>8.6644859813084105E-2</v>
      </c>
    </row>
    <row r="39" spans="1:7" x14ac:dyDescent="0.25">
      <c r="A39" s="1" t="s">
        <v>133</v>
      </c>
      <c r="B39" s="1"/>
      <c r="C39" s="1">
        <v>12</v>
      </c>
      <c r="D39" s="50"/>
      <c r="E39" s="50">
        <f>0.001*1000</f>
        <v>1</v>
      </c>
      <c r="F39" s="4"/>
    </row>
    <row r="40" spans="1:7" x14ac:dyDescent="0.25">
      <c r="A40" s="1" t="s">
        <v>203</v>
      </c>
      <c r="B40" s="1" t="s">
        <v>204</v>
      </c>
      <c r="C40" s="1">
        <v>175</v>
      </c>
      <c r="D40" s="50">
        <v>741.30799999999999</v>
      </c>
      <c r="E40" s="50">
        <f>0.05*1000</f>
        <v>50</v>
      </c>
      <c r="F40" s="8">
        <f t="shared" ref="F40:F72" si="5">D40/(E40 * 1000)</f>
        <v>1.482616E-2</v>
      </c>
    </row>
    <row r="41" spans="1:7" x14ac:dyDescent="0.25">
      <c r="A41" s="1" t="s">
        <v>154</v>
      </c>
      <c r="B41" s="1" t="s">
        <v>223</v>
      </c>
      <c r="C41" s="1">
        <v>1.0175999999999999E-2</v>
      </c>
      <c r="D41" s="50">
        <v>19</v>
      </c>
      <c r="E41" s="50">
        <f>0.000001696*1000</f>
        <v>1.696E-3</v>
      </c>
      <c r="F41" s="8">
        <f t="shared" si="5"/>
        <v>11.202830188679245</v>
      </c>
      <c r="G41">
        <v>17.420000000000002</v>
      </c>
    </row>
    <row r="42" spans="1:7" x14ac:dyDescent="0.25">
      <c r="A42" s="1" t="s">
        <v>176</v>
      </c>
      <c r="B42" s="1" t="s">
        <v>429</v>
      </c>
      <c r="C42" s="1">
        <v>0.238874700854701</v>
      </c>
      <c r="D42" s="50">
        <v>103.14</v>
      </c>
      <c r="E42" s="50">
        <f xml:space="preserve"> 0.00028102905982906*1000</f>
        <v>0.28102905982906001</v>
      </c>
      <c r="F42" s="8">
        <f t="shared" si="5"/>
        <v>0.36700830890135128</v>
      </c>
      <c r="G42">
        <v>233.01</v>
      </c>
    </row>
    <row r="43" spans="1:7" x14ac:dyDescent="0.25">
      <c r="A43" s="1" t="s">
        <v>88</v>
      </c>
      <c r="B43" s="1" t="s">
        <v>437</v>
      </c>
      <c r="C43" s="1">
        <v>150</v>
      </c>
      <c r="D43" s="50">
        <f>5.03</f>
        <v>5.03</v>
      </c>
      <c r="E43" s="50">
        <f>0.000216*1000</f>
        <v>0.216</v>
      </c>
      <c r="F43" s="8">
        <f t="shared" si="5"/>
        <v>2.3287037037037037E-2</v>
      </c>
    </row>
    <row r="44" spans="1:7" x14ac:dyDescent="0.25">
      <c r="A44" s="1" t="s">
        <v>123</v>
      </c>
      <c r="B44" s="1" t="s">
        <v>146</v>
      </c>
      <c r="C44" s="1">
        <v>2</v>
      </c>
      <c r="D44" s="50">
        <v>92.09</v>
      </c>
      <c r="E44" s="50">
        <f>0.012*1000</f>
        <v>12</v>
      </c>
      <c r="F44" s="8">
        <f t="shared" si="5"/>
        <v>7.6741666666666668E-3</v>
      </c>
      <c r="G44">
        <v>3299.94</v>
      </c>
    </row>
    <row r="45" spans="1:7" x14ac:dyDescent="0.25">
      <c r="A45" s="1" t="s">
        <v>20</v>
      </c>
      <c r="B45" s="1" t="s">
        <v>481</v>
      </c>
      <c r="C45" s="1">
        <v>0.01</v>
      </c>
      <c r="D45" s="50">
        <v>172.14</v>
      </c>
      <c r="E45" s="50">
        <f>0.0055*1000</f>
        <v>5.5</v>
      </c>
      <c r="F45" s="8">
        <f t="shared" si="5"/>
        <v>3.1298181818181815E-2</v>
      </c>
      <c r="G45">
        <v>1764.9</v>
      </c>
    </row>
    <row r="46" spans="1:7" x14ac:dyDescent="0.25">
      <c r="A46" s="1" t="s">
        <v>158</v>
      </c>
      <c r="B46" s="1" t="s">
        <v>130</v>
      </c>
      <c r="C46" s="1">
        <v>0.11126999999999999</v>
      </c>
      <c r="D46" s="50">
        <v>3.016</v>
      </c>
      <c r="E46" s="50">
        <f>0.000000125*1000</f>
        <v>1.25E-4</v>
      </c>
      <c r="F46" s="8">
        <f t="shared" si="5"/>
        <v>24.128</v>
      </c>
      <c r="G46">
        <v>24.58</v>
      </c>
    </row>
    <row r="47" spans="1:7" x14ac:dyDescent="0.25">
      <c r="A47" s="1" t="s">
        <v>159</v>
      </c>
      <c r="B47" s="1" t="s">
        <v>160</v>
      </c>
      <c r="C47" s="1">
        <v>9.0999999999999993E-6</v>
      </c>
      <c r="D47" s="50">
        <v>4.0019999999999998</v>
      </c>
      <c r="E47" s="50">
        <f>0.0000001786*1000</f>
        <v>1.786E-4</v>
      </c>
      <c r="F47" s="8">
        <f t="shared" si="5"/>
        <v>22.407614781634937</v>
      </c>
      <c r="G47">
        <v>24.58</v>
      </c>
    </row>
    <row r="48" spans="1:7" x14ac:dyDescent="0.25">
      <c r="A48" s="1" t="s">
        <v>168</v>
      </c>
      <c r="B48" s="1" t="s">
        <v>167</v>
      </c>
      <c r="C48" s="1">
        <v>2.1465000000000001</v>
      </c>
      <c r="D48" s="50">
        <v>34.01</v>
      </c>
      <c r="E48" s="50">
        <f>0.001431*1000</f>
        <v>1.431</v>
      </c>
      <c r="F48" s="8">
        <f t="shared" si="5"/>
        <v>2.3766596785464708E-2</v>
      </c>
      <c r="G48">
        <v>54.4</v>
      </c>
    </row>
    <row r="49" spans="1:7" x14ac:dyDescent="0.25">
      <c r="A49" s="1" t="s">
        <v>425</v>
      </c>
      <c r="B49" s="1" t="s">
        <v>487</v>
      </c>
      <c r="C49" s="1">
        <v>1.8585</v>
      </c>
      <c r="D49" s="50">
        <v>2468.0700000000002</v>
      </c>
      <c r="E49" s="50">
        <f>0.00177*1000</f>
        <v>1.77</v>
      </c>
      <c r="F49" s="8">
        <f t="shared" si="5"/>
        <v>1.3943898305084748</v>
      </c>
      <c r="G49">
        <v>5750.5</v>
      </c>
    </row>
    <row r="50" spans="1:7" x14ac:dyDescent="0.25">
      <c r="A50" s="1" t="s">
        <v>21</v>
      </c>
      <c r="B50" s="1" t="s">
        <v>478</v>
      </c>
      <c r="C50" s="1">
        <v>0.5</v>
      </c>
      <c r="D50" s="50">
        <v>1009.6214</v>
      </c>
      <c r="E50" s="50">
        <f>0.0015*1000</f>
        <v>1.5</v>
      </c>
      <c r="F50" s="8">
        <f t="shared" si="5"/>
        <v>0.6730809333333333</v>
      </c>
      <c r="G50">
        <v>760.01</v>
      </c>
    </row>
    <row r="51" spans="1:7" x14ac:dyDescent="0.25">
      <c r="A51" s="1" t="s">
        <v>138</v>
      </c>
      <c r="B51" s="1" t="s">
        <v>139</v>
      </c>
      <c r="C51" s="1">
        <v>2.008</v>
      </c>
      <c r="D51" s="50">
        <f>(14.007*2)+(1.008*4)</f>
        <v>32.045999999999999</v>
      </c>
      <c r="E51" s="50">
        <f>0.001004*1000</f>
        <v>1.004</v>
      </c>
      <c r="F51" s="8">
        <f t="shared" si="5"/>
        <v>3.1918326693227091E-2</v>
      </c>
      <c r="G51">
        <v>41.71</v>
      </c>
    </row>
    <row r="52" spans="1:7" x14ac:dyDescent="0.25">
      <c r="A52" s="1" t="s">
        <v>52</v>
      </c>
      <c r="B52" s="1" t="s">
        <v>365</v>
      </c>
      <c r="C52" s="1">
        <v>5.5835999999999999E-5</v>
      </c>
      <c r="D52" s="50">
        <v>1.01</v>
      </c>
      <c r="E52" s="50">
        <f>0.0000000899*1000</f>
        <v>8.9900000000000003E-5</v>
      </c>
      <c r="F52" s="8">
        <f t="shared" si="5"/>
        <v>11.234705228031144</v>
      </c>
      <c r="G52" s="6">
        <v>13.59</v>
      </c>
    </row>
    <row r="53" spans="1:7" x14ac:dyDescent="0.25">
      <c r="A53" s="1" t="s">
        <v>422</v>
      </c>
      <c r="B53" s="1" t="s">
        <v>423</v>
      </c>
      <c r="C53" s="1">
        <v>0.31773000000000001</v>
      </c>
      <c r="D53" s="50">
        <v>63.01</v>
      </c>
      <c r="E53" s="50">
        <f>0.001513*1000</f>
        <v>1.5130000000000001</v>
      </c>
      <c r="F53" s="8">
        <f t="shared" si="5"/>
        <v>4.1645736946463972E-2</v>
      </c>
      <c r="G53" s="6">
        <v>68.95</v>
      </c>
    </row>
    <row r="54" spans="1:7" x14ac:dyDescent="0.25">
      <c r="A54" s="1" t="s">
        <v>161</v>
      </c>
      <c r="B54" s="1" t="s">
        <v>3</v>
      </c>
      <c r="C54" s="1">
        <v>4.1000000000000002E-2</v>
      </c>
      <c r="D54" s="50">
        <v>170.34</v>
      </c>
      <c r="E54" s="50">
        <f>0.00082*1000</f>
        <v>0.82</v>
      </c>
      <c r="F54" s="8">
        <f t="shared" si="5"/>
        <v>0.20773170731707319</v>
      </c>
      <c r="G54">
        <v>488.46</v>
      </c>
    </row>
    <row r="55" spans="1:7" x14ac:dyDescent="0.25">
      <c r="A55" s="1" t="s">
        <v>121</v>
      </c>
      <c r="B55" s="1" t="s">
        <v>122</v>
      </c>
      <c r="C55" s="1">
        <v>0.60750000000000004</v>
      </c>
      <c r="D55" s="50">
        <v>6.94</v>
      </c>
      <c r="E55" s="50">
        <f>0.000534*1000</f>
        <v>0.53399999999999992</v>
      </c>
      <c r="F55" s="8">
        <f t="shared" si="5"/>
        <v>1.2996254681647943E-2</v>
      </c>
      <c r="G55" s="6">
        <v>5.39</v>
      </c>
    </row>
    <row r="56" spans="1:7" x14ac:dyDescent="0.25">
      <c r="A56" s="1" t="s">
        <v>432</v>
      </c>
      <c r="B56" s="1" t="s">
        <v>435</v>
      </c>
      <c r="C56" s="1">
        <v>4</v>
      </c>
      <c r="D56" s="50">
        <v>6.94</v>
      </c>
      <c r="E56" s="50">
        <f>0.000458*1000</f>
        <v>0.45800000000000002</v>
      </c>
      <c r="F56" s="8">
        <f t="shared" si="5"/>
        <v>1.5152838427947599E-2</v>
      </c>
      <c r="G56" s="6">
        <v>5.39</v>
      </c>
    </row>
    <row r="57" spans="1:7" x14ac:dyDescent="0.25">
      <c r="A57" s="1" t="s">
        <v>433</v>
      </c>
      <c r="B57" s="1" t="s">
        <v>436</v>
      </c>
      <c r="C57" s="1">
        <v>5</v>
      </c>
      <c r="D57" s="50">
        <v>8.0079999999999991</v>
      </c>
      <c r="E57" s="50">
        <f>0.00082*1000</f>
        <v>0.82</v>
      </c>
      <c r="F57" s="8">
        <f t="shared" si="5"/>
        <v>9.7658536585365843E-3</v>
      </c>
      <c r="G57" s="6">
        <v>18.98</v>
      </c>
    </row>
    <row r="58" spans="1:7" x14ac:dyDescent="0.25">
      <c r="A58" s="24" t="s">
        <v>215</v>
      </c>
      <c r="B58" s="24" t="s">
        <v>434</v>
      </c>
      <c r="C58" s="24">
        <v>7</v>
      </c>
      <c r="D58" s="52">
        <v>153.114</v>
      </c>
      <c r="E58" s="52">
        <f>0.0086964*1000</f>
        <v>8.6964000000000006</v>
      </c>
      <c r="F58" s="25">
        <f>D58/(E58 * 1000)</f>
        <v>1.7606595832758379E-2</v>
      </c>
      <c r="G58" s="37">
        <v>6215.4</v>
      </c>
    </row>
    <row r="59" spans="1:7" x14ac:dyDescent="0.25">
      <c r="A59" s="1" t="s">
        <v>19</v>
      </c>
      <c r="B59" s="1" t="s">
        <v>15</v>
      </c>
      <c r="C59" s="1">
        <v>0.14199999999999999</v>
      </c>
      <c r="D59" s="50">
        <v>17.03</v>
      </c>
      <c r="E59" s="50">
        <f>0.0007021*1000</f>
        <v>0.70209999999999995</v>
      </c>
      <c r="F59" s="8">
        <f t="shared" si="5"/>
        <v>2.4255804016521866E-2</v>
      </c>
      <c r="G59">
        <v>55.3</v>
      </c>
    </row>
    <row r="60" spans="1:7" x14ac:dyDescent="0.25">
      <c r="A60" s="1" t="s">
        <v>375</v>
      </c>
      <c r="B60" s="1" t="s">
        <v>8</v>
      </c>
      <c r="C60" s="1">
        <v>1.4</v>
      </c>
      <c r="D60" s="50">
        <v>39.950000000000003</v>
      </c>
      <c r="E60" s="50">
        <f>0.0013954*1000</f>
        <v>1.3954</v>
      </c>
      <c r="F60" s="8">
        <f t="shared" si="5"/>
        <v>2.8629783574602271E-2</v>
      </c>
      <c r="G60">
        <v>15.75</v>
      </c>
    </row>
    <row r="61" spans="1:7" x14ac:dyDescent="0.25">
      <c r="A61" s="1" t="s">
        <v>165</v>
      </c>
      <c r="B61" s="1" t="s">
        <v>166</v>
      </c>
      <c r="C61" s="1">
        <v>2.0999999999999999E-3</v>
      </c>
      <c r="D61" s="50">
        <v>28.01</v>
      </c>
      <c r="E61" s="50">
        <f>0.00079*1000</f>
        <v>0.79</v>
      </c>
      <c r="F61" s="8">
        <f t="shared" si="5"/>
        <v>3.5455696202531646E-2</v>
      </c>
      <c r="G61">
        <v>24.87</v>
      </c>
    </row>
    <row r="62" spans="1:7" x14ac:dyDescent="0.25">
      <c r="A62" s="1" t="s">
        <v>17</v>
      </c>
      <c r="B62" s="1" t="s">
        <v>11</v>
      </c>
      <c r="C62" s="1">
        <v>1.7247E-3</v>
      </c>
      <c r="D62" s="50">
        <v>44.01</v>
      </c>
      <c r="E62" s="50">
        <f>0.00117325*1000</f>
        <v>1.1732500000000001</v>
      </c>
      <c r="F62" s="8">
        <f t="shared" si="5"/>
        <v>3.7511186874067751E-2</v>
      </c>
      <c r="G62">
        <v>38.479999999999997</v>
      </c>
    </row>
    <row r="63" spans="1:7" x14ac:dyDescent="0.25">
      <c r="A63" s="1" t="s">
        <v>128</v>
      </c>
      <c r="B63" s="1" t="s">
        <v>131</v>
      </c>
      <c r="C63" s="1">
        <v>0.25600000000000001</v>
      </c>
      <c r="D63" s="50">
        <v>2.0139999999999998</v>
      </c>
      <c r="E63" s="50">
        <f>0.0001624*1000</f>
        <v>0.16239999999999999</v>
      </c>
      <c r="F63" s="8">
        <f t="shared" si="5"/>
        <v>1.2401477832512315E-2</v>
      </c>
      <c r="G63">
        <v>13.59</v>
      </c>
    </row>
    <row r="64" spans="1:7" x14ac:dyDescent="0.25">
      <c r="A64" s="1" t="s">
        <v>218</v>
      </c>
      <c r="B64" s="1" t="s">
        <v>223</v>
      </c>
      <c r="C64" s="1">
        <v>9.0299999999999994</v>
      </c>
      <c r="D64" s="50">
        <v>19</v>
      </c>
      <c r="E64" s="50">
        <f>0.001505*1000</f>
        <v>1.5050000000000001</v>
      </c>
      <c r="F64" s="8">
        <f t="shared" si="5"/>
        <v>1.2624584717607971E-2</v>
      </c>
      <c r="G64">
        <v>17.420000000000002</v>
      </c>
    </row>
    <row r="65" spans="1:7" x14ac:dyDescent="0.25">
      <c r="A65" s="1" t="s">
        <v>129</v>
      </c>
      <c r="B65" s="1" t="s">
        <v>130</v>
      </c>
      <c r="C65" s="1">
        <v>52.52</v>
      </c>
      <c r="D65" s="50">
        <v>3.016</v>
      </c>
      <c r="E65" s="50">
        <f>0.000059*1000</f>
        <v>5.8999999999999997E-2</v>
      </c>
      <c r="F65" s="8">
        <f t="shared" si="5"/>
        <v>5.1118644067796613E-2</v>
      </c>
      <c r="G65">
        <v>24.58</v>
      </c>
    </row>
    <row r="66" spans="1:7" x14ac:dyDescent="0.25">
      <c r="A66" s="1" t="s">
        <v>157</v>
      </c>
      <c r="B66" s="1" t="s">
        <v>160</v>
      </c>
      <c r="C66" s="1">
        <v>1.3299999999999999E-2</v>
      </c>
      <c r="D66" s="50">
        <v>4.0019999999999998</v>
      </c>
      <c r="E66" s="50">
        <f>0.0001786*1000</f>
        <v>0.17860000000000001</v>
      </c>
      <c r="F66" s="8">
        <f t="shared" si="5"/>
        <v>2.2407614781634933E-2</v>
      </c>
      <c r="G66">
        <v>24.58</v>
      </c>
    </row>
    <row r="67" spans="1:7" x14ac:dyDescent="0.25">
      <c r="A67" s="1" t="s">
        <v>64</v>
      </c>
      <c r="B67" s="1" t="s">
        <v>365</v>
      </c>
      <c r="C67" s="1">
        <v>3.6749999999999998E-2</v>
      </c>
      <c r="D67" s="50">
        <v>1.01</v>
      </c>
      <c r="E67" s="50">
        <f>0.00007085*1000</f>
        <v>7.0849999999999996E-2</v>
      </c>
      <c r="F67" s="8">
        <f t="shared" si="5"/>
        <v>1.4255469301340862E-2</v>
      </c>
      <c r="G67">
        <v>13.59</v>
      </c>
    </row>
    <row r="68" spans="1:7" x14ac:dyDescent="0.25">
      <c r="A68" s="1" t="s">
        <v>18</v>
      </c>
      <c r="B68" s="1" t="s">
        <v>13</v>
      </c>
      <c r="C68" s="1"/>
      <c r="D68" s="50">
        <v>16.05</v>
      </c>
      <c r="E68" s="50">
        <f>0.00042561*1000</f>
        <v>0.42560999999999999</v>
      </c>
      <c r="F68" s="8">
        <f t="shared" si="5"/>
        <v>3.7710580108550079E-2</v>
      </c>
      <c r="G68">
        <v>65.62</v>
      </c>
    </row>
    <row r="69" spans="1:7" x14ac:dyDescent="0.25">
      <c r="A69" s="1" t="s">
        <v>63</v>
      </c>
      <c r="B69" s="1" t="s">
        <v>363</v>
      </c>
      <c r="C69" s="1">
        <v>8.2399999999999997E-4</v>
      </c>
      <c r="D69" s="50">
        <v>14.01</v>
      </c>
      <c r="E69" s="50">
        <f>0.000824907*1000</f>
        <v>0.82490700000000006</v>
      </c>
      <c r="F69" s="8">
        <f t="shared" si="5"/>
        <v>1.6983732711687499E-2</v>
      </c>
      <c r="G69">
        <v>14.53</v>
      </c>
    </row>
    <row r="70" spans="1:7" x14ac:dyDescent="0.25">
      <c r="A70" s="1" t="s">
        <v>62</v>
      </c>
      <c r="B70" s="7" t="s">
        <v>222</v>
      </c>
      <c r="C70" s="7">
        <v>4.564E-2</v>
      </c>
      <c r="D70" s="51">
        <v>16</v>
      </c>
      <c r="E70" s="51">
        <f>0.001141*1000</f>
        <v>1.141</v>
      </c>
      <c r="F70" s="8">
        <f t="shared" si="5"/>
        <v>1.4022787028921999E-2</v>
      </c>
      <c r="G70">
        <v>13.61</v>
      </c>
    </row>
    <row r="71" spans="1:7" x14ac:dyDescent="0.25">
      <c r="A71" s="1" t="s">
        <v>112</v>
      </c>
      <c r="B71" s="1" t="s">
        <v>479</v>
      </c>
      <c r="C71" s="1">
        <v>15.8</v>
      </c>
      <c r="D71" s="50">
        <v>570.41099999999994</v>
      </c>
      <c r="E71" s="50">
        <f>0.00378*1000</f>
        <v>3.78</v>
      </c>
      <c r="F71" s="4">
        <f t="shared" si="5"/>
        <v>0.15090238095238093</v>
      </c>
      <c r="G71">
        <v>90.26</v>
      </c>
    </row>
    <row r="72" spans="1:7" x14ac:dyDescent="0.25">
      <c r="A72" s="1" t="s">
        <v>102</v>
      </c>
      <c r="B72" s="1" t="s">
        <v>483</v>
      </c>
      <c r="C72" s="1">
        <v>2</v>
      </c>
      <c r="D72" s="50">
        <v>510.40309999999999</v>
      </c>
      <c r="E72" s="50">
        <f>0.001*1000</f>
        <v>1</v>
      </c>
      <c r="F72" s="4">
        <f t="shared" si="5"/>
        <v>0.5104031</v>
      </c>
      <c r="G72">
        <v>289.05</v>
      </c>
    </row>
    <row r="73" spans="1:7" x14ac:dyDescent="0.25">
      <c r="A73" s="1" t="s">
        <v>134</v>
      </c>
      <c r="B73" s="1" t="s">
        <v>365</v>
      </c>
      <c r="C73" s="1">
        <v>1.25</v>
      </c>
      <c r="D73" s="50">
        <f>D67</f>
        <v>1.01</v>
      </c>
      <c r="E73" s="50">
        <f>0.007085*1000</f>
        <v>7.085</v>
      </c>
      <c r="F73" s="8">
        <f t="shared" ref="F73:F99" si="6">D73/(E73 * 1000)</f>
        <v>1.425546930134086E-4</v>
      </c>
      <c r="G73">
        <v>13.59</v>
      </c>
    </row>
    <row r="74" spans="1:7" x14ac:dyDescent="0.25">
      <c r="A74" s="1" t="s">
        <v>109</v>
      </c>
      <c r="B74" s="1" t="s">
        <v>119</v>
      </c>
      <c r="C74" s="1">
        <v>1.76</v>
      </c>
      <c r="D74" s="50">
        <v>159.69</v>
      </c>
      <c r="E74" s="50">
        <f>0.0055*1000</f>
        <v>5.5</v>
      </c>
      <c r="F74" s="8">
        <f t="shared" si="6"/>
        <v>2.9034545454545455E-2</v>
      </c>
      <c r="G74">
        <v>56.63</v>
      </c>
    </row>
    <row r="75" spans="1:7" x14ac:dyDescent="0.25">
      <c r="A75" s="1" t="s">
        <v>181</v>
      </c>
      <c r="B75" s="1" t="s">
        <v>119</v>
      </c>
      <c r="C75" s="1"/>
      <c r="D75" s="50">
        <v>159.69</v>
      </c>
      <c r="E75" s="50">
        <f>0.026*1000</f>
        <v>26</v>
      </c>
      <c r="F75" s="8">
        <f t="shared" si="6"/>
        <v>6.1419230769230769E-3</v>
      </c>
      <c r="G75">
        <v>56.63</v>
      </c>
    </row>
    <row r="76" spans="1:7" x14ac:dyDescent="0.25">
      <c r="A76" s="1" t="s">
        <v>180</v>
      </c>
      <c r="B76" s="1" t="s">
        <v>413</v>
      </c>
      <c r="C76" s="1"/>
      <c r="D76" s="50">
        <f>55.845</f>
        <v>55.844999999999999</v>
      </c>
      <c r="E76" s="50">
        <f>0.039*1000</f>
        <v>39</v>
      </c>
      <c r="F76" s="8">
        <f t="shared" si="6"/>
        <v>1.4319230769230769E-3</v>
      </c>
      <c r="G76">
        <v>7.9</v>
      </c>
    </row>
    <row r="77" spans="1:7" x14ac:dyDescent="0.25">
      <c r="A77" s="1" t="s">
        <v>179</v>
      </c>
      <c r="B77" s="1" t="s">
        <v>413</v>
      </c>
      <c r="C77" s="1">
        <v>14.24</v>
      </c>
      <c r="D77" s="50">
        <f>55.845</f>
        <v>55.844999999999999</v>
      </c>
      <c r="E77" s="50">
        <f>0.0078*1000</f>
        <v>7.8</v>
      </c>
      <c r="F77" s="8">
        <f t="shared" si="6"/>
        <v>7.1596153846153841E-3</v>
      </c>
      <c r="G77">
        <v>7.9</v>
      </c>
    </row>
    <row r="78" spans="1:7" x14ac:dyDescent="0.25">
      <c r="A78" s="1" t="s">
        <v>12</v>
      </c>
      <c r="B78" s="1" t="s">
        <v>13</v>
      </c>
      <c r="C78" s="1">
        <v>1.8642000000000001E-3</v>
      </c>
      <c r="D78" s="50">
        <f>12.02+4*1.008</f>
        <v>16.052</v>
      </c>
      <c r="E78" s="50">
        <f>0.000000717*1000</f>
        <v>7.1699999999999997E-4</v>
      </c>
      <c r="F78" s="8">
        <f t="shared" si="6"/>
        <v>22.387726638772666</v>
      </c>
      <c r="G78">
        <v>16.042999999999999</v>
      </c>
    </row>
    <row r="79" spans="1:7" x14ac:dyDescent="0.25">
      <c r="A79" s="1" t="s">
        <v>22</v>
      </c>
      <c r="B79" s="1" t="s">
        <v>476</v>
      </c>
      <c r="C79" s="1">
        <v>0.8</v>
      </c>
      <c r="D79" s="50">
        <v>910.77710000000002</v>
      </c>
      <c r="E79" s="50">
        <f>0.0027*1000</f>
        <v>2.7</v>
      </c>
      <c r="F79" s="8">
        <f t="shared" si="6"/>
        <v>0.33732485185185185</v>
      </c>
      <c r="G79">
        <v>513.82000000000005</v>
      </c>
    </row>
    <row r="80" spans="1:7" ht="18.75" x14ac:dyDescent="0.25">
      <c r="A80" s="1" t="s">
        <v>135</v>
      </c>
      <c r="B80" s="1" t="s">
        <v>156</v>
      </c>
      <c r="C80" s="1">
        <v>1.748</v>
      </c>
      <c r="D80" s="50">
        <v>46.07</v>
      </c>
      <c r="E80" s="50">
        <f>0.00088*1000</f>
        <v>0.88</v>
      </c>
      <c r="F80" s="8">
        <f t="shared" si="6"/>
        <v>5.2352272727272726E-2</v>
      </c>
      <c r="G80">
        <v>121.86</v>
      </c>
    </row>
    <row r="81" spans="1:7" x14ac:dyDescent="0.25">
      <c r="A81" s="24" t="s">
        <v>184</v>
      </c>
      <c r="B81" s="24" t="s">
        <v>185</v>
      </c>
      <c r="C81" s="24"/>
      <c r="D81" s="52">
        <v>60.08</v>
      </c>
      <c r="E81" s="52">
        <f>0.00347*1000</f>
        <v>3.47</v>
      </c>
      <c r="F81" s="25">
        <f>C81*D81/(E81 * 1000)</f>
        <v>0</v>
      </c>
      <c r="G81">
        <v>35.369999999999997</v>
      </c>
    </row>
    <row r="82" spans="1:7" x14ac:dyDescent="0.25">
      <c r="A82" s="1" t="s">
        <v>28</v>
      </c>
      <c r="B82" s="1" t="s">
        <v>475</v>
      </c>
      <c r="C82" s="1">
        <v>0.1</v>
      </c>
      <c r="D82" s="50">
        <v>387.0077</v>
      </c>
      <c r="E82" s="50">
        <f>0.005*1000</f>
        <v>5</v>
      </c>
      <c r="F82" s="8">
        <f t="shared" si="6"/>
        <v>7.7401540000000005E-2</v>
      </c>
      <c r="G82">
        <v>71.22</v>
      </c>
    </row>
    <row r="83" spans="1:7" x14ac:dyDescent="0.25">
      <c r="A83" s="1" t="s">
        <v>120</v>
      </c>
      <c r="B83" s="1" t="s">
        <v>484</v>
      </c>
      <c r="C83" s="1">
        <v>0</v>
      </c>
      <c r="D83" s="50">
        <v>565.95500000000004</v>
      </c>
      <c r="E83" s="50">
        <f>0.001*1000</f>
        <v>1</v>
      </c>
      <c r="F83" s="8">
        <f t="shared" si="6"/>
        <v>0.56595499999999999</v>
      </c>
      <c r="G83">
        <v>1256.93</v>
      </c>
    </row>
    <row r="84" spans="1:7" x14ac:dyDescent="0.25">
      <c r="A84" s="1" t="s">
        <v>38</v>
      </c>
      <c r="B84" s="1" t="s">
        <v>363</v>
      </c>
      <c r="C84" s="1">
        <v>5.0000000000000002E-5</v>
      </c>
      <c r="D84" s="50">
        <v>14.01</v>
      </c>
      <c r="E84" s="50">
        <f>0.000001251*1000</f>
        <v>1.2509999999999999E-3</v>
      </c>
      <c r="F84" s="8">
        <f t="shared" si="6"/>
        <v>11.199040767386093</v>
      </c>
      <c r="G84">
        <v>14.53</v>
      </c>
    </row>
    <row r="85" spans="1:7" x14ac:dyDescent="0.25">
      <c r="A85" s="1" t="s">
        <v>136</v>
      </c>
      <c r="B85" s="1" t="s">
        <v>155</v>
      </c>
      <c r="C85" s="1">
        <v>0.2175</v>
      </c>
      <c r="D85" s="50">
        <v>92.04</v>
      </c>
      <c r="E85" s="50">
        <f>0.00145*1000</f>
        <v>1.45</v>
      </c>
      <c r="F85" s="8">
        <f t="shared" si="6"/>
        <v>6.3475862068965522E-2</v>
      </c>
      <c r="G85">
        <v>83.5</v>
      </c>
    </row>
    <row r="86" spans="1:7" x14ac:dyDescent="0.25">
      <c r="A86" s="1" t="s">
        <v>132</v>
      </c>
      <c r="B86" s="1" t="s">
        <v>486</v>
      </c>
      <c r="C86" s="1">
        <v>4</v>
      </c>
      <c r="D86" s="50">
        <v>1004.26</v>
      </c>
      <c r="E86" s="50">
        <f>0.00105*1000</f>
        <v>1.05</v>
      </c>
      <c r="F86" s="8">
        <f t="shared" si="6"/>
        <v>0.9564380952380952</v>
      </c>
      <c r="G86">
        <v>777.74</v>
      </c>
    </row>
    <row r="87" spans="1:7" x14ac:dyDescent="0.25">
      <c r="A87" s="1" t="s">
        <v>418</v>
      </c>
      <c r="B87" s="1" t="s">
        <v>419</v>
      </c>
      <c r="C87" s="1">
        <v>24.06</v>
      </c>
      <c r="D87" s="50">
        <v>104.01</v>
      </c>
      <c r="E87" s="50">
        <f>0.001604*1000</f>
        <v>1.6039999999999999</v>
      </c>
      <c r="F87" s="8">
        <f t="shared" si="6"/>
        <v>6.4844139650872837E-2</v>
      </c>
      <c r="G87">
        <v>98.74</v>
      </c>
    </row>
    <row r="88" spans="1:7" x14ac:dyDescent="0.25">
      <c r="A88" s="24" t="s">
        <v>213</v>
      </c>
      <c r="B88" s="24" t="s">
        <v>214</v>
      </c>
      <c r="C88" s="24"/>
      <c r="D88" s="52">
        <f>(14.005*8)+(39.95*6)</f>
        <v>351.74</v>
      </c>
      <c r="E88" s="52">
        <f>0.003310332*1000</f>
        <v>3.3103319999999998</v>
      </c>
      <c r="F88" s="25">
        <f>C88*D88/(E88 * 1000)</f>
        <v>0</v>
      </c>
      <c r="G88">
        <v>210.74</v>
      </c>
    </row>
    <row r="89" spans="1:7" x14ac:dyDescent="0.25">
      <c r="A89" s="1" t="s">
        <v>110</v>
      </c>
      <c r="B89" s="1" t="s">
        <v>427</v>
      </c>
      <c r="C89" s="1">
        <v>0.5</v>
      </c>
      <c r="D89" s="50">
        <v>131.16999999999999</v>
      </c>
      <c r="E89" s="50">
        <f>0.001*1000</f>
        <v>1</v>
      </c>
      <c r="F89" s="8">
        <f t="shared" si="6"/>
        <v>0.13116999999999998</v>
      </c>
      <c r="G89">
        <v>285.98</v>
      </c>
    </row>
    <row r="90" spans="1:7" x14ac:dyDescent="0.25">
      <c r="A90" s="1" t="s">
        <v>40</v>
      </c>
      <c r="B90" s="1" t="s">
        <v>222</v>
      </c>
      <c r="C90" s="1">
        <v>5.5835999999999999E-5</v>
      </c>
      <c r="D90" s="50">
        <v>16</v>
      </c>
      <c r="E90" s="50">
        <f>0.00000141*1000</f>
        <v>1.41E-3</v>
      </c>
      <c r="F90" s="8">
        <f t="shared" si="6"/>
        <v>11.347517730496454</v>
      </c>
      <c r="G90">
        <v>13.61</v>
      </c>
    </row>
    <row r="91" spans="1:7" x14ac:dyDescent="0.25">
      <c r="A91" s="1" t="s">
        <v>416</v>
      </c>
      <c r="B91" s="1" t="s">
        <v>417</v>
      </c>
      <c r="C91" s="1">
        <v>6.18</v>
      </c>
      <c r="D91" s="50">
        <v>63.13</v>
      </c>
      <c r="E91" s="50">
        <f>0.000618*1000</f>
        <v>0.61799999999999999</v>
      </c>
      <c r="F91" s="8">
        <f t="shared" si="6"/>
        <v>0.10215210355987056</v>
      </c>
      <c r="G91">
        <v>163.76</v>
      </c>
    </row>
    <row r="92" spans="1:7" x14ac:dyDescent="0.25">
      <c r="A92" s="1" t="s">
        <v>30</v>
      </c>
      <c r="B92" s="1" t="s">
        <v>31</v>
      </c>
      <c r="C92" s="1"/>
      <c r="D92" s="50">
        <v>30.97</v>
      </c>
      <c r="E92" s="53">
        <f>$E$4</f>
        <v>5</v>
      </c>
      <c r="F92" s="8">
        <f t="shared" si="6"/>
        <v>6.1939999999999999E-3</v>
      </c>
      <c r="G92">
        <v>10.48</v>
      </c>
    </row>
    <row r="93" spans="1:7" x14ac:dyDescent="0.25">
      <c r="A93" s="1" t="s">
        <v>192</v>
      </c>
      <c r="B93" s="1" t="s">
        <v>193</v>
      </c>
      <c r="C93" s="1"/>
      <c r="D93" s="50">
        <v>244</v>
      </c>
      <c r="E93" s="50">
        <f>0.019816*1000</f>
        <v>19.815999999999999</v>
      </c>
      <c r="F93" s="8">
        <f t="shared" si="6"/>
        <v>1.2313282196205087E-2</v>
      </c>
      <c r="G93">
        <v>6.02</v>
      </c>
    </row>
    <row r="94" spans="1:7" x14ac:dyDescent="0.25">
      <c r="A94" s="1" t="s">
        <v>104</v>
      </c>
      <c r="B94" s="1" t="s">
        <v>426</v>
      </c>
      <c r="C94" s="1">
        <v>8</v>
      </c>
      <c r="D94" s="50">
        <v>104.15</v>
      </c>
      <c r="E94" s="50">
        <f>0.00104*1000</f>
        <v>1.0399999999999998</v>
      </c>
      <c r="F94" s="8">
        <f t="shared" si="6"/>
        <v>0.10014423076923079</v>
      </c>
      <c r="G94">
        <v>198.8</v>
      </c>
    </row>
    <row r="95" spans="1:7" x14ac:dyDescent="0.25">
      <c r="A95" s="1" t="s">
        <v>424</v>
      </c>
      <c r="B95" s="1" t="s">
        <v>430</v>
      </c>
      <c r="C95" s="1">
        <v>0.01</v>
      </c>
      <c r="D95" s="50">
        <v>284.77100000000002</v>
      </c>
      <c r="E95" s="50">
        <f>0.00174*1000</f>
        <v>1.74</v>
      </c>
      <c r="F95" s="8">
        <f t="shared" si="6"/>
        <v>0.16366149425287357</v>
      </c>
      <c r="G95">
        <v>390.02</v>
      </c>
    </row>
    <row r="96" spans="1:7" x14ac:dyDescent="0.25">
      <c r="A96" s="1" t="s">
        <v>24</v>
      </c>
      <c r="B96" s="1" t="s">
        <v>474</v>
      </c>
      <c r="C96" s="1">
        <v>140</v>
      </c>
      <c r="D96" s="50">
        <v>589.29629999999997</v>
      </c>
      <c r="E96" s="50">
        <f>0.0078*1000</f>
        <v>7.8</v>
      </c>
      <c r="F96" s="8">
        <f t="shared" si="6"/>
        <v>7.5550807692307695E-2</v>
      </c>
      <c r="G96">
        <v>192.86</v>
      </c>
    </row>
    <row r="97" spans="1:7" x14ac:dyDescent="0.25">
      <c r="A97" s="1" t="s">
        <v>111</v>
      </c>
      <c r="B97" s="1" t="s">
        <v>494</v>
      </c>
      <c r="C97" s="1">
        <v>7</v>
      </c>
      <c r="D97" s="50">
        <f>D25+D77+D94</f>
        <v>718.46500000000003</v>
      </c>
      <c r="E97" s="50">
        <f>0.00378*1000</f>
        <v>3.78</v>
      </c>
      <c r="F97" s="8">
        <f t="shared" si="6"/>
        <v>0.19007010582010583</v>
      </c>
      <c r="G97">
        <f>G25+G77+G94</f>
        <v>580.08999999999992</v>
      </c>
    </row>
    <row r="98" spans="1:7" x14ac:dyDescent="0.25">
      <c r="A98" s="1" t="s">
        <v>105</v>
      </c>
      <c r="B98" s="1" t="s">
        <v>496</v>
      </c>
      <c r="C98" s="1">
        <v>250</v>
      </c>
      <c r="D98" s="50">
        <v>173.05</v>
      </c>
      <c r="E98" s="50">
        <f>0.0052*1000</f>
        <v>5.2</v>
      </c>
      <c r="F98" s="8">
        <f t="shared" si="6"/>
        <v>3.3278846153846159E-2</v>
      </c>
      <c r="G98">
        <v>6.25</v>
      </c>
    </row>
    <row r="99" spans="1:7" x14ac:dyDescent="0.25">
      <c r="A99" s="1" t="s">
        <v>124</v>
      </c>
      <c r="B99" s="1" t="s">
        <v>182</v>
      </c>
      <c r="C99" s="1">
        <v>1.5</v>
      </c>
      <c r="D99" s="50">
        <f>55.845</f>
        <v>55.844999999999999</v>
      </c>
      <c r="E99" s="50">
        <f>0.0025*1000</f>
        <v>2.5</v>
      </c>
      <c r="F99" s="8">
        <f t="shared" si="6"/>
        <v>2.2338E-2</v>
      </c>
      <c r="G99">
        <v>7.9</v>
      </c>
    </row>
    <row r="100" spans="1:7" x14ac:dyDescent="0.25">
      <c r="A100" s="1" t="s">
        <v>125</v>
      </c>
      <c r="B100" s="1" t="s">
        <v>182</v>
      </c>
      <c r="C100" s="1"/>
      <c r="D100" s="50">
        <f>55.845*2</f>
        <v>111.69</v>
      </c>
      <c r="E100" s="50">
        <f>0.004*1000</f>
        <v>4</v>
      </c>
      <c r="F100" s="8">
        <f t="shared" ref="F100:F105" si="7">D100/(E100 * 1000)</f>
        <v>2.7922499999999999E-2</v>
      </c>
      <c r="G100">
        <v>7.9</v>
      </c>
    </row>
    <row r="101" spans="1:7" x14ac:dyDescent="0.25">
      <c r="A101" s="1" t="s">
        <v>25</v>
      </c>
      <c r="B101" s="1" t="s">
        <v>183</v>
      </c>
      <c r="C101" s="1">
        <v>0.01</v>
      </c>
      <c r="D101" s="50">
        <v>76.08</v>
      </c>
      <c r="E101" s="50">
        <f>0.0025*1000</f>
        <v>2.5</v>
      </c>
      <c r="F101" s="8">
        <f t="shared" si="7"/>
        <v>3.0432000000000001E-2</v>
      </c>
      <c r="G101">
        <v>48.98</v>
      </c>
    </row>
    <row r="102" spans="1:7" x14ac:dyDescent="0.25">
      <c r="A102" s="1" t="s">
        <v>151</v>
      </c>
      <c r="B102" s="1" t="s">
        <v>152</v>
      </c>
      <c r="C102" s="1">
        <v>0.02</v>
      </c>
      <c r="D102" s="50">
        <v>28.085000000000001</v>
      </c>
      <c r="E102" s="50">
        <f>0.002329*1000</f>
        <v>2.3289999999999997</v>
      </c>
      <c r="F102" s="8">
        <f t="shared" si="7"/>
        <v>1.2058823529411768E-2</v>
      </c>
      <c r="G102">
        <v>8.15</v>
      </c>
    </row>
    <row r="103" spans="1:7" x14ac:dyDescent="0.25">
      <c r="A103" s="1" t="s">
        <v>103</v>
      </c>
      <c r="B103" s="1" t="s">
        <v>495</v>
      </c>
      <c r="C103" s="1">
        <v>32</v>
      </c>
      <c r="D103" s="50">
        <v>481.98500000000001</v>
      </c>
      <c r="E103" s="50">
        <f>0.00378*1000</f>
        <v>3.78</v>
      </c>
      <c r="F103" s="4">
        <f t="shared" si="7"/>
        <v>0.12750925925925927</v>
      </c>
      <c r="G103">
        <v>95.9</v>
      </c>
    </row>
    <row r="104" spans="1:7" x14ac:dyDescent="0.25">
      <c r="A104" s="1" t="s">
        <v>144</v>
      </c>
      <c r="B104" s="1" t="s">
        <v>145</v>
      </c>
      <c r="C104" s="1">
        <v>0.17399999999999999</v>
      </c>
      <c r="D104" s="50">
        <v>186.09</v>
      </c>
      <c r="E104" s="50">
        <f>0.0031*1000</f>
        <v>3.1</v>
      </c>
      <c r="F104" s="8">
        <f t="shared" si="7"/>
        <v>6.0029032258064517E-2</v>
      </c>
      <c r="G104">
        <v>109.33</v>
      </c>
    </row>
    <row r="105" spans="1:7" x14ac:dyDescent="0.25">
      <c r="A105" s="1" t="s">
        <v>26</v>
      </c>
      <c r="B105" s="1" t="s">
        <v>497</v>
      </c>
      <c r="C105" s="1">
        <v>0.3</v>
      </c>
      <c r="D105" s="50">
        <v>483.19</v>
      </c>
      <c r="E105" s="50">
        <f>0.0016*1000</f>
        <v>1.6</v>
      </c>
      <c r="F105" s="4">
        <f t="shared" si="7"/>
        <v>0.30199375000000001</v>
      </c>
    </row>
    <row r="106" spans="1:7" x14ac:dyDescent="0.25">
      <c r="A106" s="1" t="s">
        <v>116</v>
      </c>
      <c r="B106" s="1" t="s">
        <v>485</v>
      </c>
      <c r="C106" s="1">
        <v>2.5</v>
      </c>
      <c r="D106" s="50">
        <v>516.76</v>
      </c>
      <c r="E106" s="50">
        <f>0.001*1000</f>
        <v>1</v>
      </c>
      <c r="F106" s="8">
        <f t="shared" ref="F106:F111" si="8">D106/(E106 * 1000)</f>
        <v>0.51676</v>
      </c>
      <c r="G106">
        <v>1130.8399999999999</v>
      </c>
    </row>
    <row r="107" spans="1:7" x14ac:dyDescent="0.25">
      <c r="A107" s="1" t="s">
        <v>199</v>
      </c>
      <c r="B107" s="1" t="s">
        <v>200</v>
      </c>
      <c r="C107" s="1">
        <v>46.8</v>
      </c>
      <c r="D107" s="50">
        <v>232.04</v>
      </c>
      <c r="E107" s="50">
        <f>0.0117*1000</f>
        <v>11.700000000000001</v>
      </c>
      <c r="F107" s="8">
        <f t="shared" si="8"/>
        <v>1.9832478632478629E-2</v>
      </c>
      <c r="G107">
        <v>6.3</v>
      </c>
    </row>
    <row r="108" spans="1:7" x14ac:dyDescent="0.25">
      <c r="A108" s="1" t="s">
        <v>113</v>
      </c>
      <c r="B108" s="1" t="s">
        <v>114</v>
      </c>
      <c r="C108" s="1">
        <v>0.7</v>
      </c>
      <c r="D108" s="50">
        <v>270.02999999999997</v>
      </c>
      <c r="E108" s="50">
        <f>0.0075*1000</f>
        <v>7.5</v>
      </c>
      <c r="F108" s="8">
        <f t="shared" si="8"/>
        <v>3.6003999999999994E-2</v>
      </c>
      <c r="G108">
        <v>33.409999999999997</v>
      </c>
    </row>
    <row r="109" spans="1:7" x14ac:dyDescent="0.25">
      <c r="A109" s="1" t="s">
        <v>137</v>
      </c>
      <c r="B109" s="1" t="s">
        <v>143</v>
      </c>
      <c r="C109" s="1">
        <v>0.79100000000000004</v>
      </c>
      <c r="D109" s="50">
        <v>60.1</v>
      </c>
      <c r="E109" s="50">
        <f>0.000791*1000</f>
        <v>0.79100000000000004</v>
      </c>
      <c r="F109" s="8">
        <f t="shared" si="8"/>
        <v>7.5979772439949439E-2</v>
      </c>
      <c r="G109">
        <v>3206</v>
      </c>
    </row>
    <row r="110" spans="1:7" x14ac:dyDescent="0.25">
      <c r="A110" s="1" t="s">
        <v>140</v>
      </c>
      <c r="B110" s="1" t="s">
        <v>142</v>
      </c>
      <c r="C110" s="1">
        <v>8.2899999999999998E-4</v>
      </c>
      <c r="D110" s="50">
        <f>SUM(($D$51*0.25)+($D$109*0.75))</f>
        <v>53.086500000000001</v>
      </c>
      <c r="E110" s="50">
        <f>0.000829*1000</f>
        <v>0.82899999999999996</v>
      </c>
      <c r="F110" s="8">
        <f t="shared" si="8"/>
        <v>6.4036791314837152E-2</v>
      </c>
      <c r="G110">
        <f>(G51*0.25)+(G109*0.75)</f>
        <v>2414.9274999999998</v>
      </c>
    </row>
    <row r="111" spans="1:7" x14ac:dyDescent="0.25">
      <c r="A111" s="1" t="s">
        <v>177</v>
      </c>
      <c r="B111" s="1" t="s">
        <v>484</v>
      </c>
      <c r="C111" s="1">
        <v>0</v>
      </c>
      <c r="D111" s="50">
        <v>565.95500000000004</v>
      </c>
      <c r="E111" s="50">
        <f>0.00075*1000</f>
        <v>0.75</v>
      </c>
      <c r="F111" s="8">
        <f t="shared" si="8"/>
        <v>0.75460666666666676</v>
      </c>
      <c r="G111">
        <v>1256.93</v>
      </c>
    </row>
    <row r="112" spans="1:7" x14ac:dyDescent="0.25">
      <c r="A112" s="1" t="s">
        <v>178</v>
      </c>
      <c r="B112" s="1" t="s">
        <v>403</v>
      </c>
      <c r="C112" s="1">
        <v>0</v>
      </c>
      <c r="D112" s="50">
        <v>78.08</v>
      </c>
      <c r="E112" s="50">
        <f>0.001005*1000</f>
        <v>1.0050000000000001</v>
      </c>
      <c r="F112" s="4"/>
    </row>
    <row r="113" spans="1:7" x14ac:dyDescent="0.25">
      <c r="A113" s="1" t="s">
        <v>99</v>
      </c>
      <c r="B113" s="1" t="s">
        <v>16</v>
      </c>
      <c r="C113" s="1">
        <v>8.0000000000000004E-4</v>
      </c>
      <c r="D113" s="50">
        <v>18.02</v>
      </c>
      <c r="E113" s="50">
        <f>0.001*1000</f>
        <v>1</v>
      </c>
      <c r="F113" s="8">
        <f t="shared" ref="F113" si="9">D113/(E113 * 1000)</f>
        <v>1.8020000000000001E-2</v>
      </c>
      <c r="G113">
        <v>40.79</v>
      </c>
    </row>
    <row r="114" spans="1:7" x14ac:dyDescent="0.25">
      <c r="A114" s="1" t="s">
        <v>492</v>
      </c>
      <c r="B114" s="1"/>
      <c r="C114" s="1"/>
      <c r="D114" s="50">
        <v>117.49</v>
      </c>
      <c r="E114" s="50"/>
      <c r="F114" s="8" t="str">
        <f>IFERROR(D114/(E114 * 1000),"-")</f>
        <v>-</v>
      </c>
    </row>
    <row r="115" spans="1:7" x14ac:dyDescent="0.25">
      <c r="E115" s="37"/>
    </row>
    <row r="116" spans="1:7" x14ac:dyDescent="0.25">
      <c r="A116" s="1" t="s">
        <v>82</v>
      </c>
      <c r="E116" s="37"/>
    </row>
    <row r="117" spans="1:7" x14ac:dyDescent="0.25">
      <c r="A117" s="19" t="s">
        <v>83</v>
      </c>
      <c r="D117" s="20"/>
      <c r="E117" s="50">
        <f t="shared" ref="E117:E126" si="10">F117*1000</f>
        <v>5</v>
      </c>
      <c r="F117" s="4">
        <v>5.0000000000000001E-3</v>
      </c>
    </row>
    <row r="118" spans="1:7" x14ac:dyDescent="0.25">
      <c r="A118" s="19" t="s">
        <v>91</v>
      </c>
      <c r="E118" s="50">
        <f t="shared" si="10"/>
        <v>19.3</v>
      </c>
      <c r="F118" s="4">
        <v>1.9300000000000001E-2</v>
      </c>
    </row>
    <row r="119" spans="1:7" x14ac:dyDescent="0.25">
      <c r="A119" s="19" t="s">
        <v>41</v>
      </c>
      <c r="E119" s="50">
        <f t="shared" si="10"/>
        <v>54.4</v>
      </c>
      <c r="F119" s="4">
        <v>5.4399999999999997E-2</v>
      </c>
    </row>
    <row r="120" spans="1:7" x14ac:dyDescent="0.25">
      <c r="A120" s="19" t="s">
        <v>84</v>
      </c>
      <c r="E120" s="50">
        <f t="shared" si="10"/>
        <v>5</v>
      </c>
      <c r="F120" s="4">
        <v>5.0000000000000001E-3</v>
      </c>
    </row>
    <row r="121" spans="1:7" x14ac:dyDescent="0.25">
      <c r="A121" s="19" t="s">
        <v>93</v>
      </c>
      <c r="E121" s="50">
        <f t="shared" si="10"/>
        <v>7</v>
      </c>
      <c r="F121" s="4">
        <v>7.0000000000000001E-3</v>
      </c>
    </row>
    <row r="122" spans="1:7" x14ac:dyDescent="0.25">
      <c r="A122" s="19" t="s">
        <v>127</v>
      </c>
      <c r="E122" s="50">
        <f t="shared" si="10"/>
        <v>0.53399999999999992</v>
      </c>
      <c r="F122" s="4">
        <v>5.3399999999999997E-4</v>
      </c>
    </row>
    <row r="123" spans="1:7" x14ac:dyDescent="0.25">
      <c r="A123" s="19" t="s">
        <v>85</v>
      </c>
      <c r="E123" s="50">
        <f t="shared" si="10"/>
        <v>6.0000000000000005E-2</v>
      </c>
      <c r="F123" s="4">
        <v>6.0000000000000002E-5</v>
      </c>
    </row>
    <row r="124" spans="1:7" x14ac:dyDescent="0.25">
      <c r="A124" s="19" t="s">
        <v>89</v>
      </c>
      <c r="E124" s="50">
        <f t="shared" si="10"/>
        <v>2.5</v>
      </c>
      <c r="F124" s="4">
        <v>2.5000000000000001E-3</v>
      </c>
    </row>
    <row r="125" spans="1:7" x14ac:dyDescent="0.25">
      <c r="A125" s="19" t="s">
        <v>51</v>
      </c>
      <c r="E125" s="50">
        <f t="shared" si="10"/>
        <v>5.0108799999999993</v>
      </c>
      <c r="F125" s="4">
        <v>5.0108799999999997E-3</v>
      </c>
    </row>
    <row r="126" spans="1:7" x14ac:dyDescent="0.25">
      <c r="A126" s="19" t="s">
        <v>94</v>
      </c>
      <c r="E126" s="50">
        <f t="shared" si="10"/>
        <v>4.3499999999999996</v>
      </c>
      <c r="F126" s="4">
        <v>4.3499999999999997E-3</v>
      </c>
    </row>
    <row r="127" spans="1:7" x14ac:dyDescent="0.25">
      <c r="A127" s="19" t="s">
        <v>412</v>
      </c>
      <c r="E127" s="50">
        <f t="shared" ref="E127:E152" si="11">F127*1000</f>
        <v>6.24</v>
      </c>
      <c r="F127" s="4">
        <v>6.2399999999999999E-3</v>
      </c>
    </row>
    <row r="128" spans="1:7" x14ac:dyDescent="0.25">
      <c r="A128" s="19" t="s">
        <v>88</v>
      </c>
      <c r="E128" s="50">
        <f t="shared" si="11"/>
        <v>0.216</v>
      </c>
      <c r="F128" s="4">
        <v>2.1599999999999999E-4</v>
      </c>
    </row>
    <row r="129" spans="1:6" x14ac:dyDescent="0.25">
      <c r="A129" s="19" t="s">
        <v>42</v>
      </c>
      <c r="E129" s="50">
        <f t="shared" si="11"/>
        <v>23.125</v>
      </c>
      <c r="F129" s="4">
        <v>2.3125E-2</v>
      </c>
    </row>
    <row r="130" spans="1:6" x14ac:dyDescent="0.25">
      <c r="A130" s="19" t="s">
        <v>43</v>
      </c>
      <c r="E130" s="50">
        <f t="shared" si="11"/>
        <v>5.25</v>
      </c>
      <c r="F130" s="4">
        <v>5.2500000000000003E-3</v>
      </c>
    </row>
    <row r="131" spans="1:6" x14ac:dyDescent="0.25">
      <c r="A131" s="19" t="s">
        <v>44</v>
      </c>
      <c r="E131" s="50">
        <f t="shared" si="11"/>
        <v>5</v>
      </c>
      <c r="F131" s="4">
        <v>5.0000000000000001E-3</v>
      </c>
    </row>
    <row r="132" spans="1:6" x14ac:dyDescent="0.25">
      <c r="A132" s="19" t="s">
        <v>126</v>
      </c>
      <c r="E132" s="50">
        <f t="shared" si="11"/>
        <v>1</v>
      </c>
      <c r="F132" s="4">
        <v>1E-3</v>
      </c>
    </row>
    <row r="133" spans="1:6" x14ac:dyDescent="0.25">
      <c r="A133" s="19" t="s">
        <v>45</v>
      </c>
      <c r="E133" s="50">
        <f t="shared" si="11"/>
        <v>12.5</v>
      </c>
      <c r="F133" s="4">
        <v>1.2500000000000001E-2</v>
      </c>
    </row>
    <row r="134" spans="1:6" x14ac:dyDescent="0.25">
      <c r="A134" s="19" t="s">
        <v>90</v>
      </c>
      <c r="E134" s="50">
        <f t="shared" si="11"/>
        <v>2.4</v>
      </c>
      <c r="F134" s="4">
        <v>2.3999999999999998E-3</v>
      </c>
    </row>
    <row r="135" spans="1:6" x14ac:dyDescent="0.25">
      <c r="A135" s="19" t="s">
        <v>46</v>
      </c>
      <c r="E135" s="50">
        <f t="shared" si="11"/>
        <v>13.5</v>
      </c>
      <c r="F135" s="4">
        <v>1.35E-2</v>
      </c>
    </row>
    <row r="136" spans="1:6" x14ac:dyDescent="0.25">
      <c r="A136" s="19" t="s">
        <v>47</v>
      </c>
      <c r="E136" s="50">
        <f t="shared" si="11"/>
        <v>8.6</v>
      </c>
      <c r="F136" s="4">
        <v>8.6E-3</v>
      </c>
    </row>
    <row r="137" spans="1:6" x14ac:dyDescent="0.25">
      <c r="A137" s="19" t="s">
        <v>149</v>
      </c>
      <c r="E137" s="50">
        <f t="shared" si="11"/>
        <v>19.099999999999998</v>
      </c>
      <c r="F137" s="4">
        <v>1.9099999999999999E-2</v>
      </c>
    </row>
    <row r="138" spans="1:6" x14ac:dyDescent="0.25">
      <c r="A138" s="19" t="s">
        <v>150</v>
      </c>
      <c r="E138" s="50">
        <f t="shared" si="11"/>
        <v>10.97</v>
      </c>
      <c r="F138" s="4">
        <v>1.0970000000000001E-2</v>
      </c>
    </row>
    <row r="139" spans="1:6" x14ac:dyDescent="0.25">
      <c r="A139" s="19" t="s">
        <v>48</v>
      </c>
      <c r="B139" s="1"/>
      <c r="C139" s="1"/>
      <c r="D139" s="3"/>
      <c r="E139" s="50">
        <f t="shared" si="11"/>
        <v>5.7050000000000001</v>
      </c>
      <c r="F139" s="4">
        <v>5.705E-3</v>
      </c>
    </row>
    <row r="140" spans="1:6" x14ac:dyDescent="0.25">
      <c r="A140" s="19" t="s">
        <v>49</v>
      </c>
      <c r="B140" s="1"/>
      <c r="C140" s="1"/>
      <c r="D140" s="3"/>
      <c r="E140" s="50">
        <f t="shared" si="11"/>
        <v>13.5</v>
      </c>
      <c r="F140" s="4">
        <v>1.35E-2</v>
      </c>
    </row>
    <row r="141" spans="1:6" x14ac:dyDescent="0.25">
      <c r="A141" s="19" t="s">
        <v>53</v>
      </c>
      <c r="B141" s="1"/>
      <c r="C141" s="1"/>
      <c r="D141" s="3"/>
      <c r="E141" s="50">
        <f t="shared" si="11"/>
        <v>0.35399999999999998</v>
      </c>
      <c r="F141" s="4">
        <v>3.5399999999999999E-4</v>
      </c>
    </row>
    <row r="142" spans="1:6" x14ac:dyDescent="0.25">
      <c r="A142" s="19" t="s">
        <v>86</v>
      </c>
      <c r="B142" s="1"/>
      <c r="C142" s="1"/>
      <c r="D142" s="3"/>
      <c r="E142" s="50">
        <f t="shared" si="11"/>
        <v>2.12805</v>
      </c>
      <c r="F142" s="4">
        <v>2.1280499999999998E-3</v>
      </c>
    </row>
    <row r="143" spans="1:6" x14ac:dyDescent="0.25">
      <c r="A143" s="19" t="s">
        <v>96</v>
      </c>
      <c r="B143" s="1"/>
      <c r="C143" s="1"/>
      <c r="D143" s="3"/>
      <c r="E143" s="50">
        <f t="shared" si="11"/>
        <v>1.08</v>
      </c>
      <c r="F143" s="4">
        <v>1.08E-3</v>
      </c>
    </row>
    <row r="144" spans="1:6" x14ac:dyDescent="0.25">
      <c r="A144" s="19" t="s">
        <v>87</v>
      </c>
      <c r="B144" s="1"/>
      <c r="C144" s="1"/>
      <c r="D144" s="3"/>
      <c r="E144" s="50">
        <f t="shared" si="11"/>
        <v>4.1000000000000005</v>
      </c>
      <c r="F144" s="4">
        <v>4.1000000000000003E-3</v>
      </c>
    </row>
    <row r="145" spans="1:6" x14ac:dyDescent="0.25">
      <c r="A145" s="19" t="s">
        <v>36</v>
      </c>
      <c r="E145" s="50">
        <f t="shared" si="11"/>
        <v>12.5</v>
      </c>
      <c r="F145" s="4">
        <v>1.2500000000000001E-2</v>
      </c>
    </row>
    <row r="146" spans="1:6" x14ac:dyDescent="0.25">
      <c r="A146" s="19" t="s">
        <v>55</v>
      </c>
      <c r="E146" s="50">
        <f t="shared" si="11"/>
        <v>4.5999999999999996</v>
      </c>
      <c r="F146" s="4">
        <v>4.5999999999999999E-3</v>
      </c>
    </row>
    <row r="147" spans="1:6" x14ac:dyDescent="0.25">
      <c r="A147" s="19" t="s">
        <v>97</v>
      </c>
      <c r="E147" s="50">
        <f t="shared" si="11"/>
        <v>1</v>
      </c>
      <c r="F147" s="4">
        <v>1E-3</v>
      </c>
    </row>
    <row r="148" spans="1:6" x14ac:dyDescent="0.25">
      <c r="A148" s="19" t="s">
        <v>98</v>
      </c>
      <c r="E148" s="50">
        <f t="shared" si="11"/>
        <v>1</v>
      </c>
      <c r="F148" s="4">
        <v>1E-3</v>
      </c>
    </row>
    <row r="149" spans="1:6" x14ac:dyDescent="0.25">
      <c r="A149" s="19" t="s">
        <v>92</v>
      </c>
      <c r="E149" s="50">
        <f t="shared" si="11"/>
        <v>7.5</v>
      </c>
      <c r="F149" s="4">
        <v>7.4999999999999997E-3</v>
      </c>
    </row>
    <row r="150" spans="1:6" x14ac:dyDescent="0.25">
      <c r="A150" s="19" t="s">
        <v>95</v>
      </c>
      <c r="E150" s="50">
        <f t="shared" si="11"/>
        <v>4.3499999999999996</v>
      </c>
      <c r="F150" s="4">
        <v>4.3499999999999997E-3</v>
      </c>
    </row>
    <row r="151" spans="1:6" x14ac:dyDescent="0.25">
      <c r="A151" s="19" t="s">
        <v>100</v>
      </c>
      <c r="E151" s="50">
        <f t="shared" si="11"/>
        <v>5</v>
      </c>
      <c r="F151" s="4">
        <v>5.0000000000000001E-3</v>
      </c>
    </row>
    <row r="152" spans="1:6" x14ac:dyDescent="0.25">
      <c r="A152" s="19" t="s">
        <v>50</v>
      </c>
      <c r="E152" s="50">
        <f t="shared" si="11"/>
        <v>5</v>
      </c>
      <c r="F152" s="4">
        <v>5.0000000000000001E-3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2"/>
  <sheetViews>
    <sheetView workbookViewId="0">
      <selection activeCell="D5" sqref="D5"/>
    </sheetView>
  </sheetViews>
  <sheetFormatPr defaultRowHeight="15.75" x14ac:dyDescent="0.25"/>
  <cols>
    <col min="1" max="1" width="8.25" customWidth="1"/>
    <col min="2" max="2" width="13.375" customWidth="1"/>
  </cols>
  <sheetData>
    <row r="1" spans="1:12" ht="20.25" thickBot="1" x14ac:dyDescent="0.35">
      <c r="A1" s="33" t="s">
        <v>406</v>
      </c>
      <c r="B1" s="33"/>
      <c r="C1" s="33"/>
      <c r="D1" s="33"/>
      <c r="E1" s="33"/>
      <c r="F1" s="33"/>
      <c r="G1" s="33"/>
    </row>
    <row r="2" spans="1:12" ht="16.5" thickTop="1" x14ac:dyDescent="0.25">
      <c r="A2" t="s">
        <v>407</v>
      </c>
      <c r="D2" t="s">
        <v>368</v>
      </c>
      <c r="F2" t="s">
        <v>370</v>
      </c>
      <c r="G2" t="s">
        <v>408</v>
      </c>
      <c r="J2" t="s">
        <v>370</v>
      </c>
      <c r="K2" t="s">
        <v>408</v>
      </c>
      <c r="L2" t="s">
        <v>399</v>
      </c>
    </row>
    <row r="3" spans="1:12" x14ac:dyDescent="0.25">
      <c r="A3" s="18" t="s">
        <v>366</v>
      </c>
      <c r="B3" s="18" t="s">
        <v>367</v>
      </c>
      <c r="C3" s="18" t="s">
        <v>399</v>
      </c>
      <c r="F3" s="18" t="s">
        <v>373</v>
      </c>
      <c r="G3" s="18" t="s">
        <v>369</v>
      </c>
    </row>
    <row r="4" spans="1:12" ht="16.5" thickBot="1" x14ac:dyDescent="0.3">
      <c r="A4" s="9" t="s">
        <v>312</v>
      </c>
      <c r="B4" s="12" t="str">
        <f t="shared" ref="B4:B15" si="0">IFERROR(VLOOKUP(A4,$A$25:$D$139,2,FALSE),"-")</f>
        <v>Ytterbium</v>
      </c>
      <c r="C4" s="12" t="str">
        <f t="shared" ref="C4:C15" si="1">IF(L4="Y","Yes","-")</f>
        <v>-</v>
      </c>
      <c r="D4" s="9">
        <v>1</v>
      </c>
      <c r="E4" s="10">
        <f t="shared" ref="E4:E15" si="2">D4*$D$18</f>
        <v>1</v>
      </c>
      <c r="F4" s="10">
        <f t="shared" ref="F4:F15" si="3">IFERROR(E4*J4,0)</f>
        <v>6.25</v>
      </c>
      <c r="G4" s="10">
        <f t="shared" ref="G4:G15" si="4">IFERROR(E4*K4,0)</f>
        <v>173.05</v>
      </c>
      <c r="J4" s="12">
        <f t="shared" ref="J4:J15" si="5">IFERROR(VLOOKUP(A4,$A$25:$D$139,3,FALSE),"-")</f>
        <v>6.25</v>
      </c>
      <c r="K4" s="12">
        <f t="shared" ref="K4:K15" si="6">IFERROR(VLOOKUP(A4,$A$25:$D$139,4,FALSE),"-")</f>
        <v>173.05</v>
      </c>
      <c r="L4" s="12">
        <f t="shared" ref="L4:L15" si="7">IFERROR(VLOOKUP(A4,$A$25:$E$124,5,FALSE),"-")</f>
        <v>0</v>
      </c>
    </row>
    <row r="5" spans="1:12" ht="17.25" thickTop="1" thickBot="1" x14ac:dyDescent="0.3">
      <c r="A5" s="9" t="s">
        <v>152</v>
      </c>
      <c r="B5" s="12" t="str">
        <f t="shared" si="0"/>
        <v>Silicon</v>
      </c>
      <c r="C5" s="12" t="str">
        <f t="shared" si="1"/>
        <v>-</v>
      </c>
      <c r="D5" s="9">
        <v>11</v>
      </c>
      <c r="E5" s="10">
        <f t="shared" si="2"/>
        <v>11</v>
      </c>
      <c r="F5" s="10">
        <f t="shared" si="3"/>
        <v>89.65</v>
      </c>
      <c r="G5" s="10">
        <f t="shared" si="4"/>
        <v>308.935</v>
      </c>
      <c r="H5" s="49"/>
      <c r="J5" s="12">
        <f t="shared" si="5"/>
        <v>8.15</v>
      </c>
      <c r="K5" s="12">
        <f t="shared" si="6"/>
        <v>28.085000000000001</v>
      </c>
      <c r="L5" s="12">
        <f t="shared" si="7"/>
        <v>0</v>
      </c>
    </row>
    <row r="6" spans="1:12" ht="17.25" thickTop="1" thickBot="1" x14ac:dyDescent="0.3">
      <c r="A6" s="9" t="s">
        <v>493</v>
      </c>
      <c r="B6" s="12" t="str">
        <f t="shared" si="0"/>
        <v>Carbon</v>
      </c>
      <c r="C6" s="12" t="str">
        <f t="shared" si="1"/>
        <v>-</v>
      </c>
      <c r="D6" s="9"/>
      <c r="E6" s="10">
        <f t="shared" si="2"/>
        <v>0</v>
      </c>
      <c r="F6" s="10">
        <f t="shared" si="3"/>
        <v>0</v>
      </c>
      <c r="G6" s="10">
        <f t="shared" si="4"/>
        <v>0</v>
      </c>
      <c r="J6" s="12">
        <f t="shared" si="5"/>
        <v>11.26</v>
      </c>
      <c r="K6" s="12">
        <f t="shared" si="6"/>
        <v>12.010999999999999</v>
      </c>
      <c r="L6" s="12">
        <f t="shared" si="7"/>
        <v>0</v>
      </c>
    </row>
    <row r="7" spans="1:12" ht="17.25" thickTop="1" thickBot="1" x14ac:dyDescent="0.3">
      <c r="A7" s="9"/>
      <c r="B7" s="12" t="str">
        <f t="shared" si="0"/>
        <v>-</v>
      </c>
      <c r="C7" s="12" t="str">
        <f t="shared" si="1"/>
        <v>-</v>
      </c>
      <c r="D7" s="9"/>
      <c r="E7" s="10">
        <f t="shared" si="2"/>
        <v>0</v>
      </c>
      <c r="F7" s="10">
        <f t="shared" si="3"/>
        <v>0</v>
      </c>
      <c r="G7" s="10">
        <f t="shared" si="4"/>
        <v>0</v>
      </c>
      <c r="J7" s="12" t="str">
        <f t="shared" si="5"/>
        <v>-</v>
      </c>
      <c r="K7" s="12" t="str">
        <f t="shared" si="6"/>
        <v>-</v>
      </c>
      <c r="L7" s="12" t="str">
        <f t="shared" si="7"/>
        <v>-</v>
      </c>
    </row>
    <row r="8" spans="1:12" ht="17.25" thickTop="1" thickBot="1" x14ac:dyDescent="0.3">
      <c r="A8" s="9"/>
      <c r="B8" s="12" t="str">
        <f t="shared" si="0"/>
        <v>-</v>
      </c>
      <c r="C8" s="12" t="str">
        <f t="shared" si="1"/>
        <v>-</v>
      </c>
      <c r="D8" s="9"/>
      <c r="E8" s="10">
        <f t="shared" si="2"/>
        <v>0</v>
      </c>
      <c r="F8" s="10">
        <f t="shared" si="3"/>
        <v>0</v>
      </c>
      <c r="G8" s="10">
        <f t="shared" si="4"/>
        <v>0</v>
      </c>
      <c r="J8" s="12" t="str">
        <f t="shared" si="5"/>
        <v>-</v>
      </c>
      <c r="K8" s="12" t="str">
        <f t="shared" si="6"/>
        <v>-</v>
      </c>
      <c r="L8" s="12" t="str">
        <f t="shared" si="7"/>
        <v>-</v>
      </c>
    </row>
    <row r="9" spans="1:12" ht="17.25" thickTop="1" thickBot="1" x14ac:dyDescent="0.3">
      <c r="A9" s="9"/>
      <c r="B9" s="12" t="str">
        <f t="shared" si="0"/>
        <v>-</v>
      </c>
      <c r="C9" s="12" t="str">
        <f t="shared" si="1"/>
        <v>-</v>
      </c>
      <c r="D9" s="9"/>
      <c r="E9" s="10">
        <f t="shared" si="2"/>
        <v>0</v>
      </c>
      <c r="F9" s="10">
        <f t="shared" si="3"/>
        <v>0</v>
      </c>
      <c r="G9" s="10">
        <f t="shared" si="4"/>
        <v>0</v>
      </c>
      <c r="J9" s="12" t="str">
        <f t="shared" si="5"/>
        <v>-</v>
      </c>
      <c r="K9" s="12" t="str">
        <f t="shared" si="6"/>
        <v>-</v>
      </c>
      <c r="L9" s="12" t="str">
        <f t="shared" si="7"/>
        <v>-</v>
      </c>
    </row>
    <row r="10" spans="1:12" ht="17.25" thickTop="1" thickBot="1" x14ac:dyDescent="0.3">
      <c r="A10" s="9"/>
      <c r="B10" s="12" t="str">
        <f t="shared" si="0"/>
        <v>-</v>
      </c>
      <c r="C10" s="12" t="str">
        <f t="shared" si="1"/>
        <v>-</v>
      </c>
      <c r="D10" s="9"/>
      <c r="E10" s="10">
        <f t="shared" si="2"/>
        <v>0</v>
      </c>
      <c r="F10" s="10">
        <f t="shared" si="3"/>
        <v>0</v>
      </c>
      <c r="G10" s="10">
        <f t="shared" si="4"/>
        <v>0</v>
      </c>
      <c r="J10" s="12" t="str">
        <f t="shared" si="5"/>
        <v>-</v>
      </c>
      <c r="K10" s="12" t="str">
        <f t="shared" si="6"/>
        <v>-</v>
      </c>
      <c r="L10" s="12" t="str">
        <f t="shared" si="7"/>
        <v>-</v>
      </c>
    </row>
    <row r="11" spans="1:12" ht="17.25" thickTop="1" thickBot="1" x14ac:dyDescent="0.3">
      <c r="A11" s="9"/>
      <c r="B11" s="12" t="str">
        <f t="shared" si="0"/>
        <v>-</v>
      </c>
      <c r="C11" s="12" t="str">
        <f t="shared" si="1"/>
        <v>-</v>
      </c>
      <c r="D11" s="9"/>
      <c r="E11" s="10">
        <f t="shared" si="2"/>
        <v>0</v>
      </c>
      <c r="F11" s="10">
        <f t="shared" si="3"/>
        <v>0</v>
      </c>
      <c r="G11" s="10">
        <f t="shared" si="4"/>
        <v>0</v>
      </c>
      <c r="J11" s="12" t="str">
        <f t="shared" si="5"/>
        <v>-</v>
      </c>
      <c r="K11" s="12" t="str">
        <f t="shared" si="6"/>
        <v>-</v>
      </c>
      <c r="L11" s="12" t="str">
        <f t="shared" si="7"/>
        <v>-</v>
      </c>
    </row>
    <row r="12" spans="1:12" ht="17.25" thickTop="1" thickBot="1" x14ac:dyDescent="0.3">
      <c r="A12" s="9"/>
      <c r="B12" s="12" t="str">
        <f t="shared" si="0"/>
        <v>-</v>
      </c>
      <c r="C12" s="12" t="str">
        <f t="shared" si="1"/>
        <v>-</v>
      </c>
      <c r="D12" s="9"/>
      <c r="E12" s="10">
        <f t="shared" si="2"/>
        <v>0</v>
      </c>
      <c r="F12" s="10">
        <f t="shared" si="3"/>
        <v>0</v>
      </c>
      <c r="G12" s="10">
        <f t="shared" si="4"/>
        <v>0</v>
      </c>
      <c r="J12" s="12" t="str">
        <f t="shared" si="5"/>
        <v>-</v>
      </c>
      <c r="K12" s="12" t="str">
        <f t="shared" si="6"/>
        <v>-</v>
      </c>
      <c r="L12" s="12" t="str">
        <f t="shared" si="7"/>
        <v>-</v>
      </c>
    </row>
    <row r="13" spans="1:12" ht="17.25" thickTop="1" thickBot="1" x14ac:dyDescent="0.3">
      <c r="A13" s="9"/>
      <c r="B13" s="12" t="str">
        <f t="shared" si="0"/>
        <v>-</v>
      </c>
      <c r="C13" s="12" t="str">
        <f t="shared" si="1"/>
        <v>-</v>
      </c>
      <c r="D13" s="9"/>
      <c r="E13" s="10">
        <f t="shared" si="2"/>
        <v>0</v>
      </c>
      <c r="F13" s="10">
        <f t="shared" si="3"/>
        <v>0</v>
      </c>
      <c r="G13" s="10">
        <f t="shared" si="4"/>
        <v>0</v>
      </c>
      <c r="J13" s="12" t="str">
        <f t="shared" si="5"/>
        <v>-</v>
      </c>
      <c r="K13" s="12" t="str">
        <f t="shared" si="6"/>
        <v>-</v>
      </c>
      <c r="L13" s="12" t="str">
        <f t="shared" si="7"/>
        <v>-</v>
      </c>
    </row>
    <row r="14" spans="1:12" ht="17.25" thickTop="1" thickBot="1" x14ac:dyDescent="0.3">
      <c r="A14" s="9"/>
      <c r="B14" s="12" t="str">
        <f t="shared" si="0"/>
        <v>-</v>
      </c>
      <c r="C14" s="12" t="str">
        <f t="shared" si="1"/>
        <v>-</v>
      </c>
      <c r="D14" s="9"/>
      <c r="E14" s="10">
        <f t="shared" si="2"/>
        <v>0</v>
      </c>
      <c r="F14" s="10">
        <f t="shared" si="3"/>
        <v>0</v>
      </c>
      <c r="G14" s="10">
        <f t="shared" si="4"/>
        <v>0</v>
      </c>
      <c r="J14" s="12" t="str">
        <f t="shared" si="5"/>
        <v>-</v>
      </c>
      <c r="K14" s="12" t="str">
        <f t="shared" si="6"/>
        <v>-</v>
      </c>
      <c r="L14" s="12" t="str">
        <f t="shared" si="7"/>
        <v>-</v>
      </c>
    </row>
    <row r="15" spans="1:12" ht="17.25" thickTop="1" thickBot="1" x14ac:dyDescent="0.3">
      <c r="A15" s="9"/>
      <c r="B15" s="12" t="str">
        <f t="shared" si="0"/>
        <v>-</v>
      </c>
      <c r="C15" s="12" t="str">
        <f t="shared" si="1"/>
        <v>-</v>
      </c>
      <c r="D15" s="9"/>
      <c r="E15" s="10">
        <f t="shared" si="2"/>
        <v>0</v>
      </c>
      <c r="F15" s="10">
        <f t="shared" si="3"/>
        <v>0</v>
      </c>
      <c r="G15" s="10">
        <f t="shared" si="4"/>
        <v>0</v>
      </c>
      <c r="J15" s="12" t="str">
        <f t="shared" si="5"/>
        <v>-</v>
      </c>
      <c r="K15" s="12" t="str">
        <f t="shared" si="6"/>
        <v>-</v>
      </c>
      <c r="L15" s="12" t="str">
        <f t="shared" si="7"/>
        <v>-</v>
      </c>
    </row>
    <row r="16" spans="1:12" ht="16.5" thickTop="1" x14ac:dyDescent="0.25"/>
    <row r="17" spans="1:17" x14ac:dyDescent="0.25">
      <c r="D17" t="s">
        <v>374</v>
      </c>
      <c r="F17" s="18" t="s">
        <v>372</v>
      </c>
    </row>
    <row r="18" spans="1:17" x14ac:dyDescent="0.25">
      <c r="D18" s="9">
        <v>1</v>
      </c>
      <c r="F18" s="32">
        <f>SUM(F4:F15)</f>
        <v>95.9</v>
      </c>
      <c r="G18" s="10">
        <f>SUM(G4:G15)</f>
        <v>481.98500000000001</v>
      </c>
    </row>
    <row r="19" spans="1:17" x14ac:dyDescent="0.25">
      <c r="F19" s="36">
        <f>F18/20</f>
        <v>4.7949999999999999</v>
      </c>
      <c r="N19" s="42"/>
      <c r="P19" s="13"/>
      <c r="Q19" s="13"/>
    </row>
    <row r="20" spans="1:17" x14ac:dyDescent="0.25">
      <c r="N20" s="42"/>
      <c r="P20" s="13"/>
      <c r="Q20" s="13"/>
    </row>
    <row r="21" spans="1:17" x14ac:dyDescent="0.25">
      <c r="N21" s="42"/>
      <c r="P21" s="13"/>
      <c r="Q21" s="13"/>
    </row>
    <row r="22" spans="1:17" ht="20.25" thickBot="1" x14ac:dyDescent="0.35">
      <c r="A22" s="33" t="s">
        <v>402</v>
      </c>
      <c r="B22" s="33"/>
      <c r="C22" s="33"/>
      <c r="D22" s="33"/>
      <c r="E22" s="33"/>
      <c r="H22" s="39"/>
    </row>
    <row r="23" spans="1:17" ht="16.5" thickTop="1" x14ac:dyDescent="0.25">
      <c r="C23" t="s">
        <v>370</v>
      </c>
      <c r="D23" t="s">
        <v>371</v>
      </c>
      <c r="E23" t="s">
        <v>399</v>
      </c>
      <c r="J23" s="1"/>
      <c r="N23" s="42"/>
    </row>
    <row r="24" spans="1:17" x14ac:dyDescent="0.25">
      <c r="C24" t="s">
        <v>231</v>
      </c>
      <c r="D24" t="s">
        <v>369</v>
      </c>
      <c r="N24" s="42"/>
    </row>
    <row r="25" spans="1:17" x14ac:dyDescent="0.25">
      <c r="A25" s="47" t="s">
        <v>365</v>
      </c>
      <c r="B25" t="s">
        <v>52</v>
      </c>
      <c r="C25">
        <v>13.59</v>
      </c>
      <c r="D25">
        <v>1.008</v>
      </c>
      <c r="E25" t="s">
        <v>400</v>
      </c>
      <c r="N25" s="42"/>
    </row>
    <row r="26" spans="1:17" x14ac:dyDescent="0.25">
      <c r="A26" t="s">
        <v>364</v>
      </c>
      <c r="B26" t="s">
        <v>159</v>
      </c>
      <c r="C26">
        <v>24.58</v>
      </c>
      <c r="D26">
        <v>4.0026000000000002</v>
      </c>
    </row>
    <row r="27" spans="1:17" x14ac:dyDescent="0.25">
      <c r="A27" s="45" t="s">
        <v>122</v>
      </c>
      <c r="B27" t="s">
        <v>121</v>
      </c>
      <c r="C27">
        <v>5.39</v>
      </c>
      <c r="D27">
        <v>7</v>
      </c>
    </row>
    <row r="28" spans="1:17" x14ac:dyDescent="0.25">
      <c r="A28" s="46" t="s">
        <v>187</v>
      </c>
      <c r="B28" t="s">
        <v>186</v>
      </c>
      <c r="C28">
        <v>9.32</v>
      </c>
      <c r="D28">
        <v>9.0121000000000002</v>
      </c>
    </row>
    <row r="29" spans="1:17" x14ac:dyDescent="0.25">
      <c r="A29" t="s">
        <v>191</v>
      </c>
      <c r="B29" t="s">
        <v>190</v>
      </c>
      <c r="C29">
        <v>8.2899999999999991</v>
      </c>
      <c r="D29">
        <v>10.81</v>
      </c>
    </row>
    <row r="30" spans="1:17" x14ac:dyDescent="0.25">
      <c r="A30" s="47" t="s">
        <v>33</v>
      </c>
      <c r="B30" t="s">
        <v>32</v>
      </c>
      <c r="C30">
        <v>11.26</v>
      </c>
      <c r="D30">
        <v>12.010999999999999</v>
      </c>
    </row>
    <row r="31" spans="1:17" x14ac:dyDescent="0.25">
      <c r="A31" s="47" t="s">
        <v>363</v>
      </c>
      <c r="B31" t="s">
        <v>38</v>
      </c>
      <c r="C31">
        <v>14.53</v>
      </c>
      <c r="D31">
        <v>14.007</v>
      </c>
      <c r="E31" t="s">
        <v>400</v>
      </c>
    </row>
    <row r="32" spans="1:17" x14ac:dyDescent="0.25">
      <c r="A32" s="47" t="s">
        <v>222</v>
      </c>
      <c r="B32" t="s">
        <v>40</v>
      </c>
      <c r="C32">
        <v>13.61</v>
      </c>
      <c r="D32">
        <v>15.999000000000001</v>
      </c>
      <c r="E32" t="s">
        <v>400</v>
      </c>
    </row>
    <row r="33" spans="1:5" x14ac:dyDescent="0.25">
      <c r="A33" s="47" t="s">
        <v>223</v>
      </c>
      <c r="B33" t="s">
        <v>154</v>
      </c>
      <c r="C33">
        <v>17.420000000000002</v>
      </c>
      <c r="D33">
        <v>18.998000000000001</v>
      </c>
      <c r="E33" t="s">
        <v>400</v>
      </c>
    </row>
    <row r="34" spans="1:5" x14ac:dyDescent="0.25">
      <c r="A34" t="s">
        <v>362</v>
      </c>
      <c r="B34" t="s">
        <v>224</v>
      </c>
      <c r="C34">
        <v>21.56</v>
      </c>
      <c r="D34">
        <v>20.18</v>
      </c>
    </row>
    <row r="35" spans="1:5" x14ac:dyDescent="0.25">
      <c r="A35" s="45" t="s">
        <v>361</v>
      </c>
      <c r="B35" t="s">
        <v>225</v>
      </c>
      <c r="C35">
        <v>5.13</v>
      </c>
      <c r="D35">
        <v>22.989699999999999</v>
      </c>
    </row>
    <row r="36" spans="1:5" x14ac:dyDescent="0.25">
      <c r="A36" s="46" t="s">
        <v>360</v>
      </c>
      <c r="B36" t="s">
        <v>226</v>
      </c>
      <c r="C36">
        <v>7.64</v>
      </c>
      <c r="D36">
        <v>24.305</v>
      </c>
    </row>
    <row r="37" spans="1:5" x14ac:dyDescent="0.25">
      <c r="A37" t="s">
        <v>35</v>
      </c>
      <c r="B37" t="s">
        <v>34</v>
      </c>
      <c r="C37">
        <v>5.98</v>
      </c>
      <c r="D37">
        <v>26.9815</v>
      </c>
    </row>
    <row r="38" spans="1:5" x14ac:dyDescent="0.25">
      <c r="A38" t="s">
        <v>152</v>
      </c>
      <c r="B38" t="s">
        <v>151</v>
      </c>
      <c r="C38">
        <v>8.15</v>
      </c>
      <c r="D38">
        <v>28.085000000000001</v>
      </c>
    </row>
    <row r="39" spans="1:5" x14ac:dyDescent="0.25">
      <c r="A39" s="47" t="s">
        <v>31</v>
      </c>
      <c r="B39" t="s">
        <v>30</v>
      </c>
      <c r="C39">
        <v>10.48</v>
      </c>
      <c r="D39">
        <v>90.973699999999994</v>
      </c>
    </row>
    <row r="40" spans="1:5" x14ac:dyDescent="0.25">
      <c r="A40" s="47" t="s">
        <v>359</v>
      </c>
      <c r="B40" t="s">
        <v>227</v>
      </c>
      <c r="C40">
        <v>10.36</v>
      </c>
      <c r="D40">
        <v>32.07</v>
      </c>
    </row>
    <row r="41" spans="1:5" x14ac:dyDescent="0.25">
      <c r="A41" s="47" t="s">
        <v>358</v>
      </c>
      <c r="B41" t="s">
        <v>153</v>
      </c>
      <c r="C41">
        <v>12.96</v>
      </c>
      <c r="D41">
        <v>18.9984</v>
      </c>
      <c r="E41" t="s">
        <v>400</v>
      </c>
    </row>
    <row r="42" spans="1:5" x14ac:dyDescent="0.25">
      <c r="A42" s="48" t="s">
        <v>8</v>
      </c>
      <c r="B42" t="s">
        <v>228</v>
      </c>
      <c r="C42">
        <v>15.75</v>
      </c>
      <c r="D42">
        <v>39.9</v>
      </c>
    </row>
    <row r="43" spans="1:5" x14ac:dyDescent="0.25">
      <c r="A43" s="45" t="s">
        <v>428</v>
      </c>
      <c r="B43" t="s">
        <v>229</v>
      </c>
      <c r="C43">
        <v>4.34</v>
      </c>
      <c r="D43">
        <v>39.098300000000002</v>
      </c>
    </row>
    <row r="44" spans="1:5" x14ac:dyDescent="0.25">
      <c r="A44" s="46" t="s">
        <v>221</v>
      </c>
      <c r="B44" t="s">
        <v>232</v>
      </c>
      <c r="C44">
        <v>6.11</v>
      </c>
      <c r="D44">
        <v>40.08</v>
      </c>
    </row>
    <row r="45" spans="1:5" x14ac:dyDescent="0.25">
      <c r="A45" s="47" t="s">
        <v>357</v>
      </c>
      <c r="B45" t="s">
        <v>234</v>
      </c>
      <c r="C45">
        <v>6.56</v>
      </c>
      <c r="D45">
        <v>44.9559</v>
      </c>
    </row>
    <row r="46" spans="1:5" x14ac:dyDescent="0.25">
      <c r="A46" t="s">
        <v>356</v>
      </c>
      <c r="B46" t="s">
        <v>233</v>
      </c>
      <c r="C46">
        <v>6.82</v>
      </c>
      <c r="D46">
        <v>47.866999999999997</v>
      </c>
    </row>
    <row r="47" spans="1:5" x14ac:dyDescent="0.25">
      <c r="A47" t="s">
        <v>355</v>
      </c>
      <c r="B47" t="s">
        <v>235</v>
      </c>
      <c r="C47">
        <v>6.74</v>
      </c>
      <c r="D47">
        <v>50.941499999999998</v>
      </c>
    </row>
    <row r="48" spans="1:5" x14ac:dyDescent="0.25">
      <c r="A48" t="s">
        <v>354</v>
      </c>
      <c r="B48" t="s">
        <v>236</v>
      </c>
      <c r="C48">
        <v>6.76</v>
      </c>
      <c r="D48">
        <v>51.996000000000002</v>
      </c>
    </row>
    <row r="49" spans="1:5" x14ac:dyDescent="0.25">
      <c r="A49" t="s">
        <v>353</v>
      </c>
      <c r="B49" t="s">
        <v>237</v>
      </c>
      <c r="C49">
        <v>7.43</v>
      </c>
      <c r="D49">
        <v>54.938000000000002</v>
      </c>
    </row>
    <row r="50" spans="1:5" x14ac:dyDescent="0.25">
      <c r="A50" t="s">
        <v>220</v>
      </c>
      <c r="B50" t="s">
        <v>230</v>
      </c>
      <c r="C50">
        <v>7.9</v>
      </c>
      <c r="D50">
        <v>55.84</v>
      </c>
    </row>
    <row r="51" spans="1:5" x14ac:dyDescent="0.25">
      <c r="A51" t="s">
        <v>352</v>
      </c>
      <c r="B51" t="s">
        <v>238</v>
      </c>
      <c r="C51">
        <v>7.88</v>
      </c>
      <c r="D51">
        <v>58.933199999999999</v>
      </c>
    </row>
    <row r="52" spans="1:5" x14ac:dyDescent="0.25">
      <c r="A52" t="s">
        <v>351</v>
      </c>
      <c r="B52" t="s">
        <v>350</v>
      </c>
      <c r="C52">
        <v>7.63</v>
      </c>
      <c r="D52">
        <v>58.692999999999998</v>
      </c>
    </row>
    <row r="53" spans="1:5" x14ac:dyDescent="0.25">
      <c r="A53" t="s">
        <v>349</v>
      </c>
      <c r="B53" t="s">
        <v>239</v>
      </c>
      <c r="C53">
        <v>7.72</v>
      </c>
      <c r="D53">
        <v>63.55</v>
      </c>
    </row>
    <row r="54" spans="1:5" x14ac:dyDescent="0.25">
      <c r="A54" t="s">
        <v>348</v>
      </c>
      <c r="B54" t="s">
        <v>240</v>
      </c>
      <c r="C54">
        <v>9.39</v>
      </c>
      <c r="D54">
        <v>65.400000000000006</v>
      </c>
    </row>
    <row r="55" spans="1:5" x14ac:dyDescent="0.25">
      <c r="A55" t="s">
        <v>347</v>
      </c>
      <c r="B55" t="s">
        <v>241</v>
      </c>
      <c r="C55">
        <v>5.99</v>
      </c>
      <c r="D55">
        <v>69.722999999999999</v>
      </c>
    </row>
    <row r="56" spans="1:5" x14ac:dyDescent="0.25">
      <c r="A56" t="s">
        <v>346</v>
      </c>
      <c r="B56" t="s">
        <v>242</v>
      </c>
      <c r="C56">
        <v>7.89</v>
      </c>
      <c r="D56">
        <v>72.63</v>
      </c>
    </row>
    <row r="57" spans="1:5" x14ac:dyDescent="0.25">
      <c r="A57" t="s">
        <v>345</v>
      </c>
      <c r="B57" t="s">
        <v>243</v>
      </c>
      <c r="C57">
        <v>9.7799999999999994</v>
      </c>
      <c r="D57">
        <v>74.921599999999998</v>
      </c>
    </row>
    <row r="58" spans="1:5" x14ac:dyDescent="0.25">
      <c r="A58" s="47" t="s">
        <v>344</v>
      </c>
      <c r="B58" t="s">
        <v>244</v>
      </c>
      <c r="C58">
        <v>9.75</v>
      </c>
      <c r="D58">
        <v>78.97</v>
      </c>
    </row>
    <row r="59" spans="1:5" x14ac:dyDescent="0.25">
      <c r="A59" s="47" t="s">
        <v>343</v>
      </c>
      <c r="B59" t="s">
        <v>245</v>
      </c>
      <c r="C59">
        <v>11.81</v>
      </c>
      <c r="D59">
        <v>79.900000000000006</v>
      </c>
      <c r="E59" t="s">
        <v>400</v>
      </c>
    </row>
    <row r="60" spans="1:5" x14ac:dyDescent="0.25">
      <c r="A60" s="48" t="s">
        <v>342</v>
      </c>
      <c r="B60" t="s">
        <v>246</v>
      </c>
      <c r="C60">
        <v>13.99</v>
      </c>
      <c r="D60">
        <v>83.8</v>
      </c>
    </row>
    <row r="61" spans="1:5" x14ac:dyDescent="0.25">
      <c r="A61" s="45" t="s">
        <v>341</v>
      </c>
      <c r="B61" t="s">
        <v>247</v>
      </c>
      <c r="C61">
        <v>4.17</v>
      </c>
      <c r="D61">
        <v>85.468000000000004</v>
      </c>
    </row>
    <row r="62" spans="1:5" x14ac:dyDescent="0.25">
      <c r="A62" s="46" t="s">
        <v>340</v>
      </c>
      <c r="B62" t="s">
        <v>248</v>
      </c>
      <c r="C62">
        <v>5.69</v>
      </c>
      <c r="D62">
        <v>87.62</v>
      </c>
    </row>
    <row r="63" spans="1:5" x14ac:dyDescent="0.25">
      <c r="A63" t="s">
        <v>400</v>
      </c>
      <c r="B63" t="s">
        <v>249</v>
      </c>
      <c r="C63">
        <v>6.21</v>
      </c>
      <c r="D63">
        <v>89.905799999999999</v>
      </c>
    </row>
    <row r="64" spans="1:5" x14ac:dyDescent="0.25">
      <c r="A64" t="s">
        <v>339</v>
      </c>
      <c r="B64" t="s">
        <v>250</v>
      </c>
      <c r="C64">
        <v>6.63</v>
      </c>
      <c r="D64">
        <v>91.22</v>
      </c>
    </row>
    <row r="65" spans="1:5" x14ac:dyDescent="0.25">
      <c r="A65" t="s">
        <v>338</v>
      </c>
      <c r="B65" t="s">
        <v>251</v>
      </c>
      <c r="C65">
        <v>6.75</v>
      </c>
      <c r="D65">
        <v>92.906400000000005</v>
      </c>
    </row>
    <row r="66" spans="1:5" x14ac:dyDescent="0.25">
      <c r="A66" t="s">
        <v>337</v>
      </c>
      <c r="B66" t="s">
        <v>252</v>
      </c>
      <c r="C66">
        <v>7.09</v>
      </c>
      <c r="D66">
        <v>95.95</v>
      </c>
    </row>
    <row r="67" spans="1:5" x14ac:dyDescent="0.25">
      <c r="A67" t="s">
        <v>336</v>
      </c>
      <c r="B67" t="s">
        <v>253</v>
      </c>
      <c r="C67">
        <v>7.28</v>
      </c>
      <c r="D67">
        <v>96.906400000000005</v>
      </c>
    </row>
    <row r="68" spans="1:5" x14ac:dyDescent="0.25">
      <c r="A68" t="s">
        <v>335</v>
      </c>
      <c r="B68" t="s">
        <v>254</v>
      </c>
      <c r="C68">
        <v>7.36</v>
      </c>
      <c r="D68">
        <v>101.1</v>
      </c>
    </row>
    <row r="69" spans="1:5" x14ac:dyDescent="0.25">
      <c r="A69" t="s">
        <v>334</v>
      </c>
      <c r="B69" t="s">
        <v>255</v>
      </c>
      <c r="C69">
        <v>7.45</v>
      </c>
      <c r="D69">
        <v>102.9055</v>
      </c>
    </row>
    <row r="70" spans="1:5" x14ac:dyDescent="0.25">
      <c r="A70" t="s">
        <v>333</v>
      </c>
      <c r="B70" t="s">
        <v>256</v>
      </c>
      <c r="C70">
        <v>8.33</v>
      </c>
      <c r="D70">
        <v>106.42</v>
      </c>
    </row>
    <row r="71" spans="1:5" x14ac:dyDescent="0.25">
      <c r="A71" t="s">
        <v>332</v>
      </c>
      <c r="B71" t="s">
        <v>257</v>
      </c>
      <c r="C71">
        <v>7.57</v>
      </c>
      <c r="D71">
        <v>107.86799999999999</v>
      </c>
    </row>
    <row r="72" spans="1:5" x14ac:dyDescent="0.25">
      <c r="A72" t="s">
        <v>331</v>
      </c>
      <c r="B72" t="s">
        <v>258</v>
      </c>
      <c r="C72">
        <v>8.99</v>
      </c>
      <c r="D72">
        <v>112.41</v>
      </c>
    </row>
    <row r="73" spans="1:5" x14ac:dyDescent="0.25">
      <c r="A73" t="s">
        <v>330</v>
      </c>
      <c r="B73" t="s">
        <v>259</v>
      </c>
      <c r="C73">
        <v>5.78</v>
      </c>
      <c r="D73">
        <v>114.818</v>
      </c>
    </row>
    <row r="74" spans="1:5" x14ac:dyDescent="0.25">
      <c r="A74" t="s">
        <v>329</v>
      </c>
      <c r="B74" t="s">
        <v>260</v>
      </c>
      <c r="C74">
        <v>7.34</v>
      </c>
      <c r="D74">
        <v>118.71</v>
      </c>
    </row>
    <row r="75" spans="1:5" x14ac:dyDescent="0.25">
      <c r="A75" t="s">
        <v>328</v>
      </c>
      <c r="B75" t="s">
        <v>261</v>
      </c>
      <c r="C75">
        <v>8.6</v>
      </c>
      <c r="D75">
        <v>121.76</v>
      </c>
    </row>
    <row r="76" spans="1:5" x14ac:dyDescent="0.25">
      <c r="A76" t="s">
        <v>327</v>
      </c>
      <c r="B76" t="s">
        <v>262</v>
      </c>
      <c r="C76">
        <v>9</v>
      </c>
      <c r="D76">
        <v>127.6</v>
      </c>
    </row>
    <row r="77" spans="1:5" x14ac:dyDescent="0.25">
      <c r="A77" s="47" t="s">
        <v>401</v>
      </c>
      <c r="B77" t="s">
        <v>263</v>
      </c>
      <c r="C77">
        <v>10.45</v>
      </c>
      <c r="D77">
        <v>126.9045</v>
      </c>
      <c r="E77" t="s">
        <v>400</v>
      </c>
    </row>
    <row r="78" spans="1:5" x14ac:dyDescent="0.25">
      <c r="A78" s="48" t="s">
        <v>10</v>
      </c>
      <c r="B78" t="s">
        <v>264</v>
      </c>
      <c r="C78">
        <v>12.12</v>
      </c>
      <c r="D78">
        <v>131.29</v>
      </c>
    </row>
    <row r="79" spans="1:5" x14ac:dyDescent="0.25">
      <c r="A79" s="45" t="s">
        <v>202</v>
      </c>
      <c r="B79" t="s">
        <v>265</v>
      </c>
      <c r="C79">
        <v>3.89</v>
      </c>
      <c r="D79">
        <v>132.90549999999999</v>
      </c>
    </row>
    <row r="80" spans="1:5" x14ac:dyDescent="0.25">
      <c r="A80" s="46" t="s">
        <v>326</v>
      </c>
      <c r="B80" t="s">
        <v>266</v>
      </c>
      <c r="C80">
        <v>5.21</v>
      </c>
      <c r="D80">
        <v>137.33000000000001</v>
      </c>
    </row>
    <row r="81" spans="1:4" x14ac:dyDescent="0.25">
      <c r="A81" s="44" t="s">
        <v>325</v>
      </c>
      <c r="B81" t="s">
        <v>267</v>
      </c>
      <c r="C81">
        <v>5.57</v>
      </c>
      <c r="D81">
        <v>138.90549999999999</v>
      </c>
    </row>
    <row r="82" spans="1:4" x14ac:dyDescent="0.25">
      <c r="A82" s="44" t="s">
        <v>324</v>
      </c>
      <c r="B82" t="s">
        <v>268</v>
      </c>
      <c r="C82">
        <v>5.53</v>
      </c>
      <c r="D82">
        <v>140.11600000000001</v>
      </c>
    </row>
    <row r="83" spans="1:4" x14ac:dyDescent="0.25">
      <c r="A83" s="44" t="s">
        <v>323</v>
      </c>
      <c r="B83" t="s">
        <v>269</v>
      </c>
      <c r="C83">
        <v>5.47</v>
      </c>
      <c r="D83">
        <v>140.90770000000001</v>
      </c>
    </row>
    <row r="84" spans="1:4" x14ac:dyDescent="0.25">
      <c r="A84" s="44" t="s">
        <v>322</v>
      </c>
      <c r="B84" t="s">
        <v>270</v>
      </c>
      <c r="C84">
        <v>5.52</v>
      </c>
      <c r="D84">
        <v>144.24</v>
      </c>
    </row>
    <row r="85" spans="1:4" x14ac:dyDescent="0.25">
      <c r="A85" s="44" t="s">
        <v>321</v>
      </c>
      <c r="B85" t="s">
        <v>271</v>
      </c>
      <c r="C85">
        <v>5.58</v>
      </c>
      <c r="D85">
        <v>144.9128</v>
      </c>
    </row>
    <row r="86" spans="1:4" x14ac:dyDescent="0.25">
      <c r="A86" s="44" t="s">
        <v>320</v>
      </c>
      <c r="B86" t="s">
        <v>272</v>
      </c>
      <c r="C86">
        <v>5.64</v>
      </c>
      <c r="D86">
        <v>150.4</v>
      </c>
    </row>
    <row r="87" spans="1:4" x14ac:dyDescent="0.25">
      <c r="A87" s="44" t="s">
        <v>319</v>
      </c>
      <c r="B87" t="s">
        <v>273</v>
      </c>
      <c r="C87">
        <v>5.67</v>
      </c>
      <c r="D87">
        <v>151.964</v>
      </c>
    </row>
    <row r="88" spans="1:4" x14ac:dyDescent="0.25">
      <c r="A88" s="44" t="s">
        <v>318</v>
      </c>
      <c r="B88" t="s">
        <v>274</v>
      </c>
      <c r="C88">
        <v>6.15</v>
      </c>
      <c r="D88">
        <v>157.25</v>
      </c>
    </row>
    <row r="89" spans="1:4" x14ac:dyDescent="0.25">
      <c r="A89" s="44" t="s">
        <v>317</v>
      </c>
      <c r="B89" t="s">
        <v>275</v>
      </c>
      <c r="C89">
        <v>5.86</v>
      </c>
      <c r="D89">
        <v>158.9254</v>
      </c>
    </row>
    <row r="90" spans="1:4" x14ac:dyDescent="0.25">
      <c r="A90" s="44" t="s">
        <v>316</v>
      </c>
      <c r="B90" t="s">
        <v>276</v>
      </c>
      <c r="C90">
        <v>5.93</v>
      </c>
      <c r="D90">
        <v>162.5</v>
      </c>
    </row>
    <row r="91" spans="1:4" x14ac:dyDescent="0.25">
      <c r="A91" s="44" t="s">
        <v>315</v>
      </c>
      <c r="B91" t="s">
        <v>277</v>
      </c>
      <c r="C91">
        <v>6.02</v>
      </c>
      <c r="D91">
        <v>164.93029999999999</v>
      </c>
    </row>
    <row r="92" spans="1:4" x14ac:dyDescent="0.25">
      <c r="A92" s="44" t="s">
        <v>314</v>
      </c>
      <c r="B92" t="s">
        <v>278</v>
      </c>
      <c r="C92">
        <v>6.1</v>
      </c>
      <c r="D92">
        <v>167.26</v>
      </c>
    </row>
    <row r="93" spans="1:4" x14ac:dyDescent="0.25">
      <c r="A93" s="44" t="s">
        <v>313</v>
      </c>
      <c r="B93" t="s">
        <v>279</v>
      </c>
      <c r="C93">
        <v>6.18</v>
      </c>
      <c r="D93">
        <v>168.9342</v>
      </c>
    </row>
    <row r="94" spans="1:4" x14ac:dyDescent="0.25">
      <c r="A94" s="44" t="s">
        <v>312</v>
      </c>
      <c r="B94" t="s">
        <v>280</v>
      </c>
      <c r="C94">
        <v>6.25</v>
      </c>
      <c r="D94">
        <v>173.05</v>
      </c>
    </row>
    <row r="95" spans="1:4" x14ac:dyDescent="0.25">
      <c r="A95" s="44" t="s">
        <v>311</v>
      </c>
      <c r="B95" t="s">
        <v>281</v>
      </c>
      <c r="C95">
        <v>5.42</v>
      </c>
      <c r="D95">
        <v>174.9667</v>
      </c>
    </row>
    <row r="96" spans="1:4" x14ac:dyDescent="0.25">
      <c r="A96" t="s">
        <v>310</v>
      </c>
      <c r="B96" t="s">
        <v>282</v>
      </c>
      <c r="C96">
        <v>6.82</v>
      </c>
      <c r="D96">
        <v>178.49</v>
      </c>
    </row>
    <row r="97" spans="1:4" x14ac:dyDescent="0.25">
      <c r="A97" t="s">
        <v>309</v>
      </c>
      <c r="B97" t="s">
        <v>283</v>
      </c>
      <c r="C97">
        <v>7.54</v>
      </c>
      <c r="D97">
        <v>180.9479</v>
      </c>
    </row>
    <row r="98" spans="1:4" x14ac:dyDescent="0.25">
      <c r="A98" t="s">
        <v>308</v>
      </c>
      <c r="B98" t="s">
        <v>284</v>
      </c>
      <c r="C98">
        <v>7.86</v>
      </c>
      <c r="D98">
        <v>183.84</v>
      </c>
    </row>
    <row r="99" spans="1:4" x14ac:dyDescent="0.25">
      <c r="A99" t="s">
        <v>307</v>
      </c>
      <c r="B99" t="s">
        <v>285</v>
      </c>
      <c r="C99">
        <v>7.83</v>
      </c>
      <c r="D99">
        <v>186.20699999999999</v>
      </c>
    </row>
    <row r="100" spans="1:4" x14ac:dyDescent="0.25">
      <c r="A100" t="s">
        <v>306</v>
      </c>
      <c r="B100" t="s">
        <v>286</v>
      </c>
      <c r="C100">
        <v>8.43</v>
      </c>
      <c r="D100">
        <v>190.2</v>
      </c>
    </row>
    <row r="101" spans="1:4" x14ac:dyDescent="0.25">
      <c r="A101" t="s">
        <v>305</v>
      </c>
      <c r="B101" t="s">
        <v>287</v>
      </c>
      <c r="C101">
        <v>8.9600000000000009</v>
      </c>
      <c r="D101">
        <v>192.22</v>
      </c>
    </row>
    <row r="102" spans="1:4" x14ac:dyDescent="0.25">
      <c r="A102" t="s">
        <v>304</v>
      </c>
      <c r="B102" t="s">
        <v>288</v>
      </c>
      <c r="C102">
        <v>8.9499999999999993</v>
      </c>
      <c r="D102">
        <v>195.08</v>
      </c>
    </row>
    <row r="103" spans="1:4" x14ac:dyDescent="0.25">
      <c r="A103" t="s">
        <v>303</v>
      </c>
      <c r="B103" t="s">
        <v>289</v>
      </c>
      <c r="C103">
        <v>9.2200000000000006</v>
      </c>
      <c r="D103">
        <v>196.9666</v>
      </c>
    </row>
    <row r="104" spans="1:4" x14ac:dyDescent="0.25">
      <c r="A104" t="s">
        <v>302</v>
      </c>
      <c r="B104" t="s">
        <v>290</v>
      </c>
      <c r="C104">
        <v>10.43</v>
      </c>
      <c r="D104">
        <v>200.59</v>
      </c>
    </row>
    <row r="105" spans="1:4" x14ac:dyDescent="0.25">
      <c r="A105" t="s">
        <v>301</v>
      </c>
      <c r="B105" t="s">
        <v>291</v>
      </c>
      <c r="C105">
        <v>6.1</v>
      </c>
      <c r="D105">
        <v>204.38300000000001</v>
      </c>
    </row>
    <row r="106" spans="1:4" x14ac:dyDescent="0.25">
      <c r="A106" t="s">
        <v>54</v>
      </c>
      <c r="B106" t="s">
        <v>292</v>
      </c>
      <c r="C106">
        <v>7.41</v>
      </c>
      <c r="D106">
        <v>207</v>
      </c>
    </row>
    <row r="107" spans="1:4" x14ac:dyDescent="0.25">
      <c r="A107" t="s">
        <v>300</v>
      </c>
      <c r="B107" t="s">
        <v>293</v>
      </c>
      <c r="C107">
        <v>7.28</v>
      </c>
      <c r="D107">
        <v>208.9804</v>
      </c>
    </row>
    <row r="108" spans="1:4" x14ac:dyDescent="0.25">
      <c r="A108" t="s">
        <v>299</v>
      </c>
      <c r="B108" t="s">
        <v>294</v>
      </c>
      <c r="C108">
        <v>8.41</v>
      </c>
      <c r="D108">
        <v>208.98240000000001</v>
      </c>
    </row>
    <row r="109" spans="1:4" x14ac:dyDescent="0.25">
      <c r="A109" s="47" t="s">
        <v>298</v>
      </c>
      <c r="B109" t="s">
        <v>295</v>
      </c>
      <c r="C109">
        <v>9.31</v>
      </c>
      <c r="D109">
        <v>209.9872</v>
      </c>
    </row>
    <row r="110" spans="1:4" x14ac:dyDescent="0.25">
      <c r="A110" s="48" t="s">
        <v>376</v>
      </c>
      <c r="B110" t="s">
        <v>296</v>
      </c>
      <c r="C110">
        <v>10.74</v>
      </c>
      <c r="D110">
        <v>222.01759999999999</v>
      </c>
    </row>
    <row r="111" spans="1:4" x14ac:dyDescent="0.25">
      <c r="A111" s="45" t="s">
        <v>377</v>
      </c>
      <c r="B111" t="s">
        <v>387</v>
      </c>
      <c r="C111">
        <v>4.07</v>
      </c>
      <c r="D111">
        <v>223.0197</v>
      </c>
    </row>
    <row r="112" spans="1:4" x14ac:dyDescent="0.25">
      <c r="A112" s="46" t="s">
        <v>297</v>
      </c>
      <c r="B112" t="s">
        <v>388</v>
      </c>
      <c r="C112">
        <v>5.27</v>
      </c>
      <c r="D112">
        <v>226.02539999999999</v>
      </c>
    </row>
    <row r="113" spans="1:4" x14ac:dyDescent="0.25">
      <c r="A113" t="s">
        <v>444</v>
      </c>
      <c r="B113" t="s">
        <v>473</v>
      </c>
      <c r="C113">
        <v>6</v>
      </c>
      <c r="D113">
        <v>267.12200000000001</v>
      </c>
    </row>
    <row r="114" spans="1:4" x14ac:dyDescent="0.25">
      <c r="A114" t="s">
        <v>445</v>
      </c>
      <c r="B114" t="s">
        <v>472</v>
      </c>
      <c r="D114">
        <v>268.12599999999998</v>
      </c>
    </row>
    <row r="115" spans="1:4" x14ac:dyDescent="0.25">
      <c r="A115" t="s">
        <v>446</v>
      </c>
      <c r="B115" t="s">
        <v>471</v>
      </c>
      <c r="D115">
        <v>269.12799999999999</v>
      </c>
    </row>
    <row r="116" spans="1:4" x14ac:dyDescent="0.25">
      <c r="A116" t="s">
        <v>447</v>
      </c>
      <c r="B116" t="s">
        <v>470</v>
      </c>
      <c r="D116">
        <v>270.13299999999998</v>
      </c>
    </row>
    <row r="117" spans="1:4" x14ac:dyDescent="0.25">
      <c r="A117" t="s">
        <v>448</v>
      </c>
      <c r="B117" t="s">
        <v>469</v>
      </c>
      <c r="D117">
        <v>269.1336</v>
      </c>
    </row>
    <row r="118" spans="1:4" x14ac:dyDescent="0.25">
      <c r="A118" t="s">
        <v>449</v>
      </c>
      <c r="B118" t="s">
        <v>468</v>
      </c>
      <c r="D118">
        <v>277.154</v>
      </c>
    </row>
    <row r="119" spans="1:4" x14ac:dyDescent="0.25">
      <c r="A119" t="s">
        <v>450</v>
      </c>
      <c r="B119" t="s">
        <v>467</v>
      </c>
      <c r="D119">
        <v>282.166</v>
      </c>
    </row>
    <row r="120" spans="1:4" x14ac:dyDescent="0.25">
      <c r="A120" t="s">
        <v>451</v>
      </c>
      <c r="B120" t="s">
        <v>466</v>
      </c>
      <c r="D120">
        <v>282.16899999999998</v>
      </c>
    </row>
    <row r="121" spans="1:4" x14ac:dyDescent="0.25">
      <c r="A121" t="s">
        <v>452</v>
      </c>
      <c r="B121" t="s">
        <v>465</v>
      </c>
      <c r="D121">
        <v>286.17899999999997</v>
      </c>
    </row>
    <row r="122" spans="1:4" x14ac:dyDescent="0.25">
      <c r="A122" t="s">
        <v>453</v>
      </c>
      <c r="B122" t="s">
        <v>464</v>
      </c>
      <c r="D122">
        <v>286.18200000000002</v>
      </c>
    </row>
    <row r="123" spans="1:4" x14ac:dyDescent="0.25">
      <c r="A123" t="s">
        <v>454</v>
      </c>
      <c r="B123" t="s">
        <v>463</v>
      </c>
      <c r="D123">
        <v>290.19200000000001</v>
      </c>
    </row>
    <row r="124" spans="1:4" x14ac:dyDescent="0.25">
      <c r="A124" t="s">
        <v>455</v>
      </c>
      <c r="B124" t="s">
        <v>462</v>
      </c>
      <c r="D124">
        <v>290.19600000000003</v>
      </c>
    </row>
    <row r="125" spans="1:4" x14ac:dyDescent="0.25">
      <c r="A125" t="s">
        <v>456</v>
      </c>
      <c r="B125" t="s">
        <v>461</v>
      </c>
      <c r="D125">
        <v>293.20499999999998</v>
      </c>
    </row>
    <row r="126" spans="1:4" x14ac:dyDescent="0.25">
      <c r="A126" t="s">
        <v>457</v>
      </c>
      <c r="B126" t="s">
        <v>460</v>
      </c>
      <c r="D126">
        <v>294.21100000000001</v>
      </c>
    </row>
    <row r="127" spans="1:4" x14ac:dyDescent="0.25">
      <c r="A127" s="48" t="s">
        <v>458</v>
      </c>
      <c r="B127" t="s">
        <v>459</v>
      </c>
      <c r="D127">
        <v>295.21600000000001</v>
      </c>
    </row>
    <row r="128" spans="1:4" x14ac:dyDescent="0.25">
      <c r="A128" s="43" t="s">
        <v>378</v>
      </c>
      <c r="B128" t="s">
        <v>389</v>
      </c>
      <c r="C128">
        <v>5.17</v>
      </c>
      <c r="D128">
        <v>227.02780000000001</v>
      </c>
    </row>
    <row r="129" spans="1:4" x14ac:dyDescent="0.25">
      <c r="A129" s="43" t="s">
        <v>200</v>
      </c>
      <c r="B129" t="s">
        <v>199</v>
      </c>
      <c r="C129">
        <v>6.3</v>
      </c>
      <c r="D129">
        <v>232.03800000000001</v>
      </c>
    </row>
    <row r="130" spans="1:4" x14ac:dyDescent="0.25">
      <c r="A130" s="43" t="s">
        <v>379</v>
      </c>
      <c r="B130" t="s">
        <v>390</v>
      </c>
      <c r="C130">
        <v>5.89</v>
      </c>
      <c r="D130">
        <v>231.0359</v>
      </c>
    </row>
    <row r="131" spans="1:4" x14ac:dyDescent="0.25">
      <c r="A131" s="43" t="s">
        <v>118</v>
      </c>
      <c r="B131" t="s">
        <v>391</v>
      </c>
      <c r="C131">
        <v>6.19</v>
      </c>
      <c r="D131">
        <v>238.02889999999999</v>
      </c>
    </row>
    <row r="132" spans="1:4" x14ac:dyDescent="0.25">
      <c r="A132" s="43" t="s">
        <v>380</v>
      </c>
      <c r="B132" t="s">
        <v>392</v>
      </c>
      <c r="C132">
        <v>6.26</v>
      </c>
      <c r="D132">
        <v>237.04820000000001</v>
      </c>
    </row>
    <row r="133" spans="1:4" x14ac:dyDescent="0.25">
      <c r="A133" s="43" t="s">
        <v>193</v>
      </c>
      <c r="B133" t="s">
        <v>192</v>
      </c>
      <c r="C133">
        <v>6.02</v>
      </c>
      <c r="D133">
        <v>244.0642</v>
      </c>
    </row>
    <row r="134" spans="1:4" x14ac:dyDescent="0.25">
      <c r="A134" s="43" t="s">
        <v>381</v>
      </c>
      <c r="B134" t="s">
        <v>393</v>
      </c>
      <c r="C134">
        <v>5.97</v>
      </c>
      <c r="D134">
        <v>243.06139999999999</v>
      </c>
    </row>
    <row r="135" spans="1:4" x14ac:dyDescent="0.25">
      <c r="A135" s="43" t="s">
        <v>382</v>
      </c>
      <c r="B135" t="s">
        <v>394</v>
      </c>
      <c r="C135">
        <v>5.99</v>
      </c>
      <c r="D135">
        <v>247.07040000000001</v>
      </c>
    </row>
    <row r="136" spans="1:4" x14ac:dyDescent="0.25">
      <c r="A136" s="43" t="s">
        <v>383</v>
      </c>
      <c r="B136" t="s">
        <v>395</v>
      </c>
      <c r="C136">
        <v>6.19</v>
      </c>
      <c r="D136">
        <v>247.0703</v>
      </c>
    </row>
    <row r="137" spans="1:4" x14ac:dyDescent="0.25">
      <c r="A137" s="43" t="s">
        <v>384</v>
      </c>
      <c r="B137" t="s">
        <v>396</v>
      </c>
      <c r="C137">
        <v>6.28</v>
      </c>
      <c r="D137">
        <v>251.08</v>
      </c>
    </row>
    <row r="138" spans="1:4" x14ac:dyDescent="0.25">
      <c r="A138" s="43" t="s">
        <v>385</v>
      </c>
      <c r="B138" t="s">
        <v>397</v>
      </c>
      <c r="C138">
        <v>6.42</v>
      </c>
      <c r="D138">
        <v>252.083</v>
      </c>
    </row>
    <row r="139" spans="1:4" x14ac:dyDescent="0.25">
      <c r="A139" s="43" t="s">
        <v>386</v>
      </c>
      <c r="B139" t="s">
        <v>398</v>
      </c>
      <c r="C139">
        <v>6.5</v>
      </c>
      <c r="D139">
        <v>257.09500000000003</v>
      </c>
    </row>
    <row r="140" spans="1:4" x14ac:dyDescent="0.25">
      <c r="A140" s="43" t="s">
        <v>438</v>
      </c>
      <c r="B140" t="s">
        <v>441</v>
      </c>
      <c r="C140">
        <v>6.58</v>
      </c>
      <c r="D140">
        <v>258.09500000000003</v>
      </c>
    </row>
    <row r="141" spans="1:4" x14ac:dyDescent="0.25">
      <c r="A141" s="43" t="s">
        <v>439</v>
      </c>
      <c r="B141" t="s">
        <v>442</v>
      </c>
      <c r="C141">
        <v>6.65</v>
      </c>
      <c r="D141">
        <v>258.09800000000001</v>
      </c>
    </row>
    <row r="142" spans="1:4" x14ac:dyDescent="0.25">
      <c r="A142" s="43" t="s">
        <v>440</v>
      </c>
      <c r="B142" t="s">
        <v>443</v>
      </c>
      <c r="C142">
        <v>4.9000000000000004</v>
      </c>
      <c r="D142">
        <v>266.12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 (Kg)</vt:lpstr>
      <vt:lpstr>Calc (Moles)</vt:lpstr>
      <vt:lpstr>Database</vt:lpstr>
      <vt:lpstr>Ionization energy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Cassidy</dc:creator>
  <cp:keywords/>
  <dc:description/>
  <cp:lastModifiedBy>Jade</cp:lastModifiedBy>
  <cp:revision/>
  <dcterms:created xsi:type="dcterms:W3CDTF">2019-06-13T01:25:21Z</dcterms:created>
  <dcterms:modified xsi:type="dcterms:W3CDTF">2026-09-04T06:28:06Z</dcterms:modified>
  <cp:category/>
  <cp:contentStatus/>
</cp:coreProperties>
</file>